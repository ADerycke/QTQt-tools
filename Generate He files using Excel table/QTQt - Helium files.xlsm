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\Documents\Recherche\Recherche - Macro\Macro - QTQt\"/>
    </mc:Choice>
  </mc:AlternateContent>
  <xr:revisionPtr revIDLastSave="0" documentId="13_ncr:1_{C3BB2192-90D4-4DF6-97BB-360679F3D210}" xr6:coauthVersionLast="47" xr6:coauthVersionMax="47" xr10:uidLastSave="{00000000-0000-0000-0000-000000000000}"/>
  <bookViews>
    <workbookView xWindow="2685" yWindow="2685" windowWidth="21600" windowHeight="11385" xr2:uid="{1139C0EE-083C-4140-B2FF-35282070557C}"/>
  </bookViews>
  <sheets>
    <sheet name="Data" sheetId="1" r:id="rId1"/>
    <sheet name="Template" sheetId="5" state="hidden" r:id="rId2"/>
    <sheet name="AFT" sheetId="4" r:id="rId3"/>
    <sheet name="Feuil1" sheetId="3" state="hidden" r:id="rId4"/>
    <sheet name="Info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I8" i="2"/>
  <c r="J8" i="2"/>
</calcChain>
</file>

<file path=xl/sharedStrings.xml><?xml version="1.0" encoding="utf-8"?>
<sst xmlns="http://schemas.openxmlformats.org/spreadsheetml/2006/main" count="472" uniqueCount="201">
  <si>
    <t>X</t>
  </si>
  <si>
    <t>Y</t>
  </si>
  <si>
    <t>Z</t>
  </si>
  <si>
    <t>Th</t>
  </si>
  <si>
    <t>Rs</t>
  </si>
  <si>
    <t>W</t>
  </si>
  <si>
    <t>H</t>
  </si>
  <si>
    <t>eU var</t>
  </si>
  <si>
    <t>A</t>
  </si>
  <si>
    <t>Name</t>
  </si>
  <si>
    <t>He</t>
  </si>
  <si>
    <t>±</t>
  </si>
  <si>
    <t>None</t>
  </si>
  <si>
    <t>Gautheron</t>
  </si>
  <si>
    <t>Flowers</t>
  </si>
  <si>
    <t>Guenthner</t>
  </si>
  <si>
    <t>Apatite</t>
  </si>
  <si>
    <t>Zircon</t>
  </si>
  <si>
    <t>K</t>
  </si>
  <si>
    <t>K-Ar/Ar</t>
  </si>
  <si>
    <t>Crystal geometry</t>
  </si>
  <si>
    <t>infinite cylinder</t>
  </si>
  <si>
    <t>infinite slab</t>
  </si>
  <si>
    <t>0&lt;100</t>
  </si>
  <si>
    <t>no variation</t>
  </si>
  <si>
    <t>[%]</t>
  </si>
  <si>
    <t xml:space="preserve"> Dpar</t>
  </si>
  <si>
    <t xml:space="preserve"> Cl (apfu)</t>
  </si>
  <si>
    <t xml:space="preserve"> OH (apfu)</t>
  </si>
  <si>
    <t xml:space="preserve"> Cl (wt%)</t>
  </si>
  <si>
    <t>Code for composition</t>
  </si>
  <si>
    <t xml:space="preserve"> Value</t>
  </si>
  <si>
    <t>code</t>
  </si>
  <si>
    <t xml:space="preserve"> Error</t>
  </si>
  <si>
    <t>Code for Radiation Damage model</t>
  </si>
  <si>
    <t>Code for Annaeling model</t>
  </si>
  <si>
    <t>Cristal Information</t>
  </si>
  <si>
    <t>Age (Uncorrected)</t>
  </si>
  <si>
    <t>Time (sedimentation)</t>
  </si>
  <si>
    <t>Temperature (sedimentation)</t>
  </si>
  <si>
    <t>Code for Anneling model</t>
  </si>
  <si>
    <t>Code for Composition model</t>
  </si>
  <si>
    <t xml:space="preserve">Code for Radiation Damage model </t>
  </si>
  <si>
    <t>Crystal</t>
  </si>
  <si>
    <t xml:space="preserve">± </t>
  </si>
  <si>
    <t>Resamples between</t>
  </si>
  <si>
    <t>U / eU</t>
  </si>
  <si>
    <t>Do (m²/s)</t>
  </si>
  <si>
    <t>Activation Energy (J/mol)</t>
  </si>
  <si>
    <t>Distance Ejection (µm)</t>
  </si>
  <si>
    <t>Distance Ejection</t>
  </si>
  <si>
    <t>Do</t>
  </si>
  <si>
    <t>Activation Energy</t>
  </si>
  <si>
    <t>associated number in QTQt</t>
  </si>
  <si>
    <t>Creator</t>
  </si>
  <si>
    <t>Cristal</t>
  </si>
  <si>
    <t>Type</t>
  </si>
  <si>
    <t>eU Var (resampling)</t>
  </si>
  <si>
    <t>Other</t>
  </si>
  <si>
    <t>Rs resample method</t>
  </si>
  <si>
    <t>MC (random)</t>
  </si>
  <si>
    <t>MCMC (perturbation)</t>
  </si>
  <si>
    <t>resampling method</t>
  </si>
  <si>
    <t>min</t>
  </si>
  <si>
    <t>max</t>
  </si>
  <si>
    <t>Crystal information</t>
  </si>
  <si>
    <t>Model custom</t>
  </si>
  <si>
    <t>Model Code</t>
  </si>
  <si>
    <t xml:space="preserve"> Laslett et al. (1987)</t>
  </si>
  <si>
    <t xml:space="preserve"> Laslett et al. (1987) 
(recoded by Ketcham)</t>
  </si>
  <si>
    <t xml:space="preserve"> Ketcham et al. (1999)
(multikinetic)</t>
  </si>
  <si>
    <t xml:space="preserve"> Ketcham et al. (2007) 
(multikinetic)</t>
  </si>
  <si>
    <t>Tagami et al. (1998)</t>
  </si>
  <si>
    <t xml:space="preserve"> Yamada et al. (2007)
short/long time</t>
  </si>
  <si>
    <r>
      <rPr>
        <b/>
        <sz val="11"/>
        <color theme="1"/>
        <rFont val="Calibri"/>
        <family val="2"/>
        <scheme val="minor"/>
      </rPr>
      <t xml:space="preserve">0,6 &lt; rmr0 &lt; 0,8
</t>
    </r>
    <r>
      <rPr>
        <i/>
        <sz val="11"/>
        <color theme="1"/>
        <rFont val="Calibri"/>
        <family val="2"/>
        <scheme val="minor"/>
      </rPr>
      <t xml:space="preserve">(0,6=low resistance  /  0,8 = hight resistance)
</t>
    </r>
  </si>
  <si>
    <r>
      <t xml:space="preserve">information
</t>
    </r>
    <r>
      <rPr>
        <sz val="9"/>
        <rFont val="Calibri"/>
        <family val="2"/>
        <scheme val="minor"/>
      </rPr>
      <t>(If the error is non-zero  the value will be sample from a normal distribution centred on the value with a standard deviation equal to the error)</t>
    </r>
  </si>
  <si>
    <t>Sm (total)</t>
  </si>
  <si>
    <r>
      <t xml:space="preserve"> rmr0
</t>
    </r>
    <r>
      <rPr>
        <i/>
        <sz val="11"/>
        <color theme="1"/>
        <rFont val="Calibri"/>
        <family val="2"/>
        <scheme val="minor"/>
      </rPr>
      <t>with
rmr0 + κ = 1,04  (Ketcham et al. (2007)).</t>
    </r>
  </si>
  <si>
    <t>Gautheron et al. (2009)</t>
  </si>
  <si>
    <t>Flowers et al. (2009)</t>
  </si>
  <si>
    <t>Guenthner et al. (2007)</t>
  </si>
  <si>
    <t>Excel Name</t>
  </si>
  <si>
    <t>Laslett</t>
  </si>
  <si>
    <t>Laslett (Ket)</t>
  </si>
  <si>
    <t>Ketcham (99)</t>
  </si>
  <si>
    <t>Ketcham (07)</t>
  </si>
  <si>
    <t>Tagami</t>
  </si>
  <si>
    <t>Yamada (short)</t>
  </si>
  <si>
    <t>Yamada (long)</t>
  </si>
  <si>
    <t>Dpar</t>
  </si>
  <si>
    <t>Cl (apfu)</t>
  </si>
  <si>
    <t>OH</t>
  </si>
  <si>
    <t>Cl (wt)</t>
  </si>
  <si>
    <t>rmr0</t>
  </si>
  <si>
    <t>Lippolt et Hautmann (1995)
Mn oxyde</t>
  </si>
  <si>
    <t>Balout et al. (2017)
Fe oxyde</t>
  </si>
  <si>
    <r>
      <t>G2015 Gau</t>
    </r>
    <r>
      <rPr>
        <i/>
        <sz val="11"/>
        <color theme="1"/>
        <rFont val="Calibri"/>
        <family val="2"/>
        <scheme val="minor"/>
      </rPr>
      <t xml:space="preserve"> - Gerin et al. (2017)
 base on Gautheron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</si>
  <si>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 xml:space="preserve">G2015 Ket </t>
    </r>
    <r>
      <rPr>
        <i/>
        <sz val="11"/>
        <color theme="1"/>
        <rFont val="Calibri"/>
        <family val="2"/>
        <scheme val="minor"/>
      </rPr>
      <t>-  Gerin et al. (2017)
 base on Ketcham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</si>
  <si>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>G2015 Las</t>
    </r>
    <r>
      <rPr>
        <i/>
        <sz val="11"/>
        <color theme="1"/>
        <rFont val="Calibri"/>
        <family val="2"/>
        <scheme val="minor"/>
      </rPr>
      <t xml:space="preserve"> - Gerin et al. (2017)
 base on Laslett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</si>
  <si>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t>Sample[s]</t>
  </si>
  <si>
    <t>[°]</t>
  </si>
  <si>
    <t>[m]</t>
  </si>
  <si>
    <t>[Ma]</t>
  </si>
  <si>
    <t>[°C]</t>
  </si>
  <si>
    <t>[ppm]</t>
  </si>
  <si>
    <t xml:space="preserve"> [ncc/g]</t>
  </si>
  <si>
    <t>[µm]</t>
  </si>
  <si>
    <t>[m²/s]</t>
  </si>
  <si>
    <t>[J/mol]</t>
  </si>
  <si>
    <t>Special for (U-Th)/He on oxydes</t>
  </si>
  <si>
    <t>O</t>
  </si>
  <si>
    <t>Radiation Damage constant</t>
  </si>
  <si>
    <t>C0</t>
  </si>
  <si>
    <t>c1</t>
  </si>
  <si>
    <t>c2</t>
  </si>
  <si>
    <t>c3</t>
  </si>
  <si>
    <t>sphere (2T)</t>
  </si>
  <si>
    <t>0T fragment</t>
  </si>
  <si>
    <t>1T fragment</t>
  </si>
  <si>
    <t>Ginster
modification de Guenthner</t>
  </si>
  <si>
    <t>Wilett (Flowers)</t>
  </si>
  <si>
    <t>Ginster (Guenthner)</t>
  </si>
  <si>
    <t>Gerin (Laslett)</t>
  </si>
  <si>
    <t>Gerin (Ketcham)</t>
  </si>
  <si>
    <t>Gerin (Gautheron)</t>
  </si>
  <si>
    <t>Resample Gerin</t>
  </si>
  <si>
    <t>Resample Gerin model</t>
  </si>
  <si>
    <t>yes</t>
  </si>
  <si>
    <t>no</t>
  </si>
  <si>
    <t>type</t>
  </si>
  <si>
    <t>DEa (min)
[kJ/mol]</t>
  </si>
  <si>
    <t>DEa (max)
[kJ/mol]</t>
  </si>
  <si>
    <t>Ip (min)
[%]</t>
  </si>
  <si>
    <t>Ip (max)
[%]</t>
  </si>
  <si>
    <t>Ip
[%]</t>
  </si>
  <si>
    <t>[kj/mol]</t>
  </si>
  <si>
    <t>DEa (Eb)</t>
  </si>
  <si>
    <t>Cherniak et al. (2011)
Titanite</t>
  </si>
  <si>
    <r>
      <t>Density [kg.m</t>
    </r>
    <r>
      <rPr>
        <b/>
        <vertAlign val="superscript"/>
        <sz val="14"/>
        <color theme="1"/>
        <rFont val="Calibri"/>
        <family val="2"/>
        <scheme val="minor"/>
      </rPr>
      <t>3</t>
    </r>
    <r>
      <rPr>
        <b/>
        <sz val="14"/>
        <color theme="1"/>
        <rFont val="Calibri"/>
        <family val="2"/>
        <scheme val="minor"/>
      </rPr>
      <t>]</t>
    </r>
  </si>
  <si>
    <t>Wilett 
modification de Flowers</t>
  </si>
  <si>
    <t>Guenthner (resample)</t>
  </si>
  <si>
    <t>Name :</t>
  </si>
  <si>
    <t>FT age, error [Ma] :</t>
  </si>
  <si>
    <t>Std Deviation, Error :</t>
  </si>
  <si>
    <t>MTL, error [µm] :</t>
  </si>
  <si>
    <t>Length, Angle, Composition :</t>
  </si>
  <si>
    <t>Ns, Ni, Composition :</t>
  </si>
  <si>
    <t>…</t>
  </si>
  <si>
    <t>….</t>
  </si>
  <si>
    <r>
      <t xml:space="preserve">N lenght, N count, zeta, </t>
    </r>
    <r>
      <rPr>
        <i/>
        <sz val="11"/>
        <color theme="1"/>
        <rFont val="Calibri"/>
        <family val="2"/>
      </rPr>
      <t>ρdos, Ndos :</t>
    </r>
  </si>
  <si>
    <t>Information</t>
  </si>
  <si>
    <t>Compositional code, value, error :</t>
  </si>
  <si>
    <t>code for acid attacks :</t>
  </si>
  <si>
    <t>code for confined tracks</t>
  </si>
  <si>
    <t>code for projected tracks :</t>
  </si>
  <si>
    <t>Temperature (Today)</t>
  </si>
  <si>
    <t>348.3</t>
  </si>
  <si>
    <t>1.486</t>
  </si>
  <si>
    <t>0.102</t>
  </si>
  <si>
    <t>98.64</t>
  </si>
  <si>
    <t>5.47</t>
  </si>
  <si>
    <t>12.68</t>
  </si>
  <si>
    <t>1.268</t>
  </si>
  <si>
    <t>1.288</t>
  </si>
  <si>
    <t>0.1288</t>
  </si>
  <si>
    <t>1.4</t>
  </si>
  <si>
    <t>1.3</t>
  </si>
  <si>
    <t>1.2</t>
  </si>
  <si>
    <t>1.5</t>
  </si>
  <si>
    <t>1.6</t>
  </si>
  <si>
    <t>1.7</t>
  </si>
  <si>
    <t>10.9</t>
  </si>
  <si>
    <t>12.9</t>
  </si>
  <si>
    <t>13.1</t>
  </si>
  <si>
    <t>10.6</t>
  </si>
  <si>
    <t>14.8</t>
  </si>
  <si>
    <t>13.9</t>
  </si>
  <si>
    <t>13.4</t>
  </si>
  <si>
    <t>13.2</t>
  </si>
  <si>
    <t>12.1</t>
  </si>
  <si>
    <t>15.2</t>
  </si>
  <si>
    <t>12.4</t>
  </si>
  <si>
    <t>10.2</t>
  </si>
  <si>
    <t>11.0</t>
  </si>
  <si>
    <t>14.2</t>
  </si>
  <si>
    <t>13.7</t>
  </si>
  <si>
    <t>12.7</t>
  </si>
  <si>
    <t>14.5</t>
  </si>
  <si>
    <t>10.4</t>
  </si>
  <si>
    <t>11.2</t>
  </si>
  <si>
    <t>13.5</t>
  </si>
  <si>
    <t>12.0</t>
  </si>
  <si>
    <t>12.8</t>
  </si>
  <si>
    <t>13.6</t>
  </si>
  <si>
    <t>12.5</t>
  </si>
  <si>
    <t>Sample A</t>
  </si>
  <si>
    <t>Sample B</t>
  </si>
  <si>
    <t>Custom model</t>
  </si>
  <si>
    <t>Code model</t>
  </si>
  <si>
    <t>Crystal informations</t>
  </si>
  <si>
    <t>Special for Rs resampling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</si>
</sst>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</font>
    <font>
      <sz val="11"/>
      <name val="Calibri"/>
      <family val="2"/>
    </font>
    <font>
      <b/>
      <vertAlign val="superscript"/>
      <sz val="14"/>
      <color theme="1"/>
      <name val="Calibri"/>
      <family val="2"/>
      <scheme val="minor"/>
    </font>
    <font>
      <i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9" fillId="0" borderId="0"/>
    <xf numFmtId="0" fontId="10" fillId="0" borderId="0"/>
    <xf numFmtId="0" fontId="12" fillId="0" borderId="0"/>
    <xf numFmtId="43" fontId="12" fillId="0" borderId="0" applyFont="0" applyFill="0" applyBorder="0" applyAlignment="0" applyProtection="0"/>
  </cellStyleXfs>
  <cellXfs count="22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4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wrapText="1"/>
    </xf>
    <xf numFmtId="0" fontId="0" fillId="0" borderId="6" xfId="0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0" fillId="0" borderId="13" xfId="0" applyBorder="1"/>
    <xf numFmtId="164" fontId="4" fillId="0" borderId="3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49" fontId="3" fillId="5" borderId="7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20" xfId="0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vertical="center" wrapText="1"/>
    </xf>
    <xf numFmtId="0" fontId="0" fillId="11" borderId="0" xfId="0" applyFill="1" applyAlignment="1">
      <alignment horizontal="center" vertical="top" wrapText="1"/>
    </xf>
    <xf numFmtId="0" fontId="0" fillId="11" borderId="0" xfId="0" applyFill="1" applyAlignment="1">
      <alignment horizontal="center" wrapText="1"/>
    </xf>
    <xf numFmtId="0" fontId="0" fillId="11" borderId="0" xfId="0" applyFill="1" applyAlignment="1">
      <alignment wrapText="1"/>
    </xf>
    <xf numFmtId="0" fontId="0" fillId="11" borderId="0" xfId="0" applyFill="1"/>
    <xf numFmtId="0" fontId="6" fillId="0" borderId="0" xfId="0" applyFont="1" applyAlignment="1">
      <alignment vertical="center" wrapText="1"/>
    </xf>
    <xf numFmtId="0" fontId="6" fillId="11" borderId="0" xfId="0" applyFont="1" applyFill="1" applyAlignment="1">
      <alignment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164" fontId="2" fillId="3" borderId="17" xfId="0" applyNumberFormat="1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1" fillId="9" borderId="18" xfId="0" applyFont="1" applyFill="1" applyBorder="1" applyAlignment="1">
      <alignment horizontal="center" vertical="center" wrapText="1"/>
    </xf>
    <xf numFmtId="164" fontId="2" fillId="3" borderId="30" xfId="0" applyNumberFormat="1" applyFont="1" applyFill="1" applyBorder="1" applyAlignment="1">
      <alignment horizontal="center" vertical="center" wrapText="1"/>
    </xf>
    <xf numFmtId="164" fontId="13" fillId="3" borderId="16" xfId="0" applyNumberFormat="1" applyFont="1" applyFill="1" applyBorder="1" applyAlignment="1">
      <alignment horizontal="center" vertical="center" wrapText="1"/>
    </xf>
    <xf numFmtId="164" fontId="1" fillId="3" borderId="1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2" fillId="14" borderId="19" xfId="0" applyFont="1" applyFill="1" applyBorder="1" applyAlignment="1">
      <alignment horizontal="center" vertical="center" wrapText="1"/>
    </xf>
    <xf numFmtId="0" fontId="2" fillId="14" borderId="16" xfId="0" applyFont="1" applyFill="1" applyBorder="1" applyAlignment="1">
      <alignment horizontal="center" vertical="center" wrapText="1"/>
    </xf>
    <xf numFmtId="0" fontId="2" fillId="14" borderId="17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21" fillId="3" borderId="15" xfId="0" applyNumberFormat="1" applyFont="1" applyFill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5" xfId="0" applyFill="1" applyBorder="1"/>
    <xf numFmtId="164" fontId="22" fillId="3" borderId="15" xfId="0" applyNumberFormat="1" applyFont="1" applyFill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0" fontId="0" fillId="3" borderId="0" xfId="0" applyFill="1"/>
    <xf numFmtId="0" fontId="15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0" fontId="14" fillId="0" borderId="33" xfId="0" applyFont="1" applyBorder="1" applyAlignment="1">
      <alignment horizontal="center" vertical="center" wrapText="1"/>
    </xf>
    <xf numFmtId="0" fontId="26" fillId="5" borderId="32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6" fillId="6" borderId="34" xfId="0" applyFont="1" applyFill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0" fontId="26" fillId="7" borderId="35" xfId="0" applyFont="1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35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0" xfId="0" applyFont="1"/>
    <xf numFmtId="11" fontId="0" fillId="0" borderId="6" xfId="0" applyNumberFormat="1" applyBorder="1" applyAlignment="1">
      <alignment horizontal="center" vertical="center" wrapText="1"/>
    </xf>
    <xf numFmtId="165" fontId="0" fillId="0" borderId="6" xfId="4" applyNumberFormat="1" applyFont="1" applyBorder="1" applyAlignment="1">
      <alignment horizontal="center" vertical="center" wrapText="1"/>
    </xf>
    <xf numFmtId="0" fontId="16" fillId="10" borderId="6" xfId="0" applyFont="1" applyFill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6" fillId="5" borderId="34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4" fillId="5" borderId="23" xfId="0" applyFont="1" applyFill="1" applyBorder="1" applyAlignment="1">
      <alignment horizontal="center" vertical="center" wrapText="1"/>
    </xf>
    <xf numFmtId="0" fontId="14" fillId="5" borderId="25" xfId="0" applyFont="1" applyFill="1" applyBorder="1" applyAlignment="1">
      <alignment horizontal="center" vertical="center" wrapText="1"/>
    </xf>
    <xf numFmtId="0" fontId="14" fillId="5" borderId="34" xfId="0" applyFont="1" applyFill="1" applyBorder="1" applyAlignment="1">
      <alignment horizontal="center" vertical="center" wrapText="1"/>
    </xf>
    <xf numFmtId="11" fontId="0" fillId="0" borderId="21" xfId="0" applyNumberFormat="1" applyBorder="1" applyAlignment="1">
      <alignment horizontal="center" vertical="center" wrapText="1"/>
    </xf>
    <xf numFmtId="165" fontId="21" fillId="3" borderId="15" xfId="4" applyNumberFormat="1" applyFont="1" applyFill="1" applyBorder="1" applyAlignment="1">
      <alignment horizontal="center" vertical="center"/>
    </xf>
    <xf numFmtId="165" fontId="2" fillId="3" borderId="29" xfId="4" applyNumberFormat="1" applyFont="1" applyFill="1" applyBorder="1" applyAlignment="1">
      <alignment horizontal="center" vertical="center" wrapText="1"/>
    </xf>
    <xf numFmtId="165" fontId="4" fillId="0" borderId="4" xfId="4" applyNumberFormat="1" applyFont="1" applyBorder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26" fillId="15" borderId="6" xfId="0" applyFont="1" applyFill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26" fillId="15" borderId="36" xfId="0" applyFont="1" applyFill="1" applyBorder="1" applyAlignment="1">
      <alignment horizontal="center" vertical="center" wrapText="1"/>
    </xf>
    <xf numFmtId="0" fontId="0" fillId="16" borderId="37" xfId="0" applyFill="1" applyBorder="1" applyAlignment="1">
      <alignment horizontal="center" vertical="top" wrapText="1"/>
    </xf>
    <xf numFmtId="0" fontId="0" fillId="16" borderId="38" xfId="0" applyFill="1" applyBorder="1" applyAlignment="1">
      <alignment horizontal="center" vertical="top" wrapText="1"/>
    </xf>
    <xf numFmtId="0" fontId="0" fillId="16" borderId="39" xfId="0" applyFill="1" applyBorder="1" applyAlignment="1">
      <alignment horizontal="center" vertical="top" wrapText="1"/>
    </xf>
    <xf numFmtId="0" fontId="0" fillId="0" borderId="33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15" fillId="10" borderId="20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2" xfId="0" applyNumberFormat="1" applyBorder="1"/>
    <xf numFmtId="164" fontId="28" fillId="0" borderId="0" xfId="0" applyNumberFormat="1" applyFont="1" applyAlignment="1">
      <alignment horizontal="center" vertical="center"/>
    </xf>
    <xf numFmtId="165" fontId="0" fillId="0" borderId="0" xfId="4" applyNumberFormat="1" applyFont="1"/>
    <xf numFmtId="1" fontId="28" fillId="0" borderId="0" xfId="3" applyNumberFormat="1" applyFont="1" applyAlignment="1">
      <alignment horizontal="center" vertical="center"/>
    </xf>
    <xf numFmtId="0" fontId="28" fillId="0" borderId="0" xfId="3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6" xfId="4" applyNumberFormat="1" applyFont="1" applyBorder="1"/>
    <xf numFmtId="11" fontId="0" fillId="0" borderId="8" xfId="0" applyNumberFormat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3" fontId="0" fillId="0" borderId="11" xfId="4" applyNumberFormat="1" applyFont="1" applyBorder="1" applyAlignment="1">
      <alignment horizontal="center" vertical="center" wrapText="1"/>
    </xf>
    <xf numFmtId="3" fontId="0" fillId="0" borderId="27" xfId="4" applyNumberFormat="1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0" fillId="8" borderId="40" xfId="0" applyFill="1" applyBorder="1"/>
    <xf numFmtId="0" fontId="0" fillId="8" borderId="0" xfId="0" applyFill="1"/>
    <xf numFmtId="0" fontId="14" fillId="8" borderId="0" xfId="0" applyFont="1" applyFill="1" applyAlignment="1">
      <alignment horizontal="right"/>
    </xf>
    <xf numFmtId="0" fontId="0" fillId="8" borderId="0" xfId="0" applyFill="1" applyAlignment="1">
      <alignment horizontal="right"/>
    </xf>
    <xf numFmtId="49" fontId="0" fillId="18" borderId="0" xfId="0" applyNumberFormat="1" applyFill="1"/>
    <xf numFmtId="49" fontId="0" fillId="18" borderId="40" xfId="0" applyNumberFormat="1" applyFill="1" applyBorder="1"/>
    <xf numFmtId="0" fontId="14" fillId="8" borderId="0" xfId="0" applyFont="1" applyFill="1" applyAlignment="1">
      <alignment horizontal="right" vertical="center"/>
    </xf>
    <xf numFmtId="0" fontId="0" fillId="8" borderId="40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2" xfId="0" applyBorder="1" applyAlignment="1">
      <alignment horizontal="right" vertical="center"/>
    </xf>
    <xf numFmtId="49" fontId="0" fillId="0" borderId="0" xfId="0" applyNumberFormat="1"/>
    <xf numFmtId="0" fontId="7" fillId="19" borderId="10" xfId="0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7" fillId="19" borderId="8" xfId="0" applyFont="1" applyFill="1" applyBorder="1" applyAlignment="1">
      <alignment horizontal="center" vertical="center" wrapText="1"/>
    </xf>
    <xf numFmtId="0" fontId="7" fillId="20" borderId="8" xfId="0" applyFont="1" applyFill="1" applyBorder="1" applyAlignment="1">
      <alignment horizontal="center" vertical="center" wrapText="1"/>
    </xf>
    <xf numFmtId="0" fontId="7" fillId="20" borderId="11" xfId="0" applyFont="1" applyFill="1" applyBorder="1" applyAlignment="1">
      <alignment horizontal="center" vertical="center" wrapText="1"/>
    </xf>
    <xf numFmtId="1" fontId="21" fillId="3" borderId="15" xfId="0" applyNumberFormat="1" applyFont="1" applyFill="1" applyBorder="1" applyAlignment="1">
      <alignment horizontal="center" vertical="center"/>
    </xf>
    <xf numFmtId="1" fontId="2" fillId="3" borderId="17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0" fillId="0" borderId="2" xfId="0" applyBorder="1" applyAlignment="1">
      <alignment horizontal="right"/>
    </xf>
    <xf numFmtId="0" fontId="31" fillId="8" borderId="0" xfId="0" applyFont="1" applyFill="1" applyAlignment="1">
      <alignment horizontal="right"/>
    </xf>
    <xf numFmtId="49" fontId="1" fillId="17" borderId="27" xfId="0" applyNumberFormat="1" applyFont="1" applyFill="1" applyBorder="1" applyAlignment="1">
      <alignment horizontal="center" vertical="center"/>
    </xf>
    <xf numFmtId="49" fontId="1" fillId="17" borderId="33" xfId="0" applyNumberFormat="1" applyFont="1" applyFill="1" applyBorder="1" applyAlignment="1">
      <alignment horizontal="center" vertical="center"/>
    </xf>
    <xf numFmtId="49" fontId="1" fillId="17" borderId="28" xfId="0" applyNumberFormat="1" applyFont="1" applyFill="1" applyBorder="1" applyAlignment="1">
      <alignment horizontal="center" vertical="center"/>
    </xf>
    <xf numFmtId="49" fontId="0" fillId="16" borderId="0" xfId="0" applyNumberFormat="1" applyFill="1" applyAlignment="1">
      <alignment horizontal="center" vertical="center"/>
    </xf>
    <xf numFmtId="49" fontId="0" fillId="16" borderId="41" xfId="0" applyNumberFormat="1" applyFill="1" applyBorder="1" applyAlignment="1">
      <alignment horizontal="center" vertical="center"/>
    </xf>
    <xf numFmtId="49" fontId="0" fillId="18" borderId="41" xfId="0" applyNumberFormat="1" applyFill="1" applyBorder="1"/>
    <xf numFmtId="49" fontId="0" fillId="16" borderId="0" xfId="0" applyNumberFormat="1" applyFill="1"/>
    <xf numFmtId="49" fontId="0" fillId="16" borderId="41" xfId="0" applyNumberFormat="1" applyFill="1" applyBorder="1"/>
    <xf numFmtId="49" fontId="0" fillId="18" borderId="40" xfId="0" applyNumberFormat="1" applyFill="1" applyBorder="1" applyAlignment="1">
      <alignment vertical="center"/>
    </xf>
    <xf numFmtId="1" fontId="15" fillId="13" borderId="43" xfId="0" applyNumberFormat="1" applyFont="1" applyFill="1" applyBorder="1" applyAlignment="1">
      <alignment horizontal="center" vertical="center" wrapText="1"/>
    </xf>
    <xf numFmtId="0" fontId="18" fillId="12" borderId="42" xfId="0" applyFont="1" applyFill="1" applyBorder="1" applyAlignment="1">
      <alignment horizontal="center" vertical="center" wrapText="1"/>
    </xf>
    <xf numFmtId="0" fontId="2" fillId="4" borderId="43" xfId="0" applyFont="1" applyFill="1" applyBorder="1" applyAlignment="1">
      <alignment horizontal="center" vertical="center" wrapText="1"/>
    </xf>
    <xf numFmtId="0" fontId="2" fillId="5" borderId="43" xfId="0" applyFont="1" applyFill="1" applyBorder="1" applyAlignment="1">
      <alignment horizontal="center" vertical="center" wrapText="1"/>
    </xf>
    <xf numFmtId="0" fontId="2" fillId="5" borderId="42" xfId="0" applyFont="1" applyFill="1" applyBorder="1" applyAlignment="1">
      <alignment horizontal="center" vertical="center" wrapText="1"/>
    </xf>
    <xf numFmtId="0" fontId="15" fillId="10" borderId="3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/>
    </xf>
    <xf numFmtId="0" fontId="3" fillId="7" borderId="29" xfId="0" applyFont="1" applyFill="1" applyBorder="1" applyAlignment="1">
      <alignment horizontal="center" vertical="center" wrapText="1"/>
    </xf>
    <xf numFmtId="0" fontId="3" fillId="7" borderId="31" xfId="0" applyFont="1" applyFill="1" applyBorder="1" applyAlignment="1">
      <alignment horizontal="center" vertical="center" wrapText="1"/>
    </xf>
    <xf numFmtId="0" fontId="3" fillId="7" borderId="42" xfId="0" applyFont="1" applyFill="1" applyBorder="1" applyAlignment="1">
      <alignment horizontal="center" vertical="center" wrapText="1"/>
    </xf>
    <xf numFmtId="0" fontId="17" fillId="12" borderId="43" xfId="0" applyFont="1" applyFill="1" applyBorder="1" applyAlignment="1">
      <alignment horizontal="center" vertical="center" wrapText="1"/>
    </xf>
    <xf numFmtId="0" fontId="17" fillId="12" borderId="31" xfId="0" applyFont="1" applyFill="1" applyBorder="1" applyAlignment="1">
      <alignment horizontal="center" vertical="center" wrapText="1"/>
    </xf>
    <xf numFmtId="164" fontId="19" fillId="12" borderId="12" xfId="0" applyNumberFormat="1" applyFont="1" applyFill="1" applyBorder="1" applyAlignment="1">
      <alignment horizontal="center" vertical="center" wrapText="1"/>
    </xf>
    <xf numFmtId="164" fontId="19" fillId="12" borderId="13" xfId="0" applyNumberFormat="1" applyFont="1" applyFill="1" applyBorder="1" applyAlignment="1">
      <alignment horizontal="center" vertical="center" wrapText="1"/>
    </xf>
    <xf numFmtId="164" fontId="19" fillId="12" borderId="14" xfId="0" applyNumberFormat="1" applyFont="1" applyFill="1" applyBorder="1" applyAlignment="1">
      <alignment horizontal="center" vertical="center" wrapText="1"/>
    </xf>
    <xf numFmtId="49" fontId="20" fillId="2" borderId="13" xfId="0" applyNumberFormat="1" applyFont="1" applyFill="1" applyBorder="1" applyAlignment="1">
      <alignment horizontal="center" vertical="center"/>
    </xf>
    <xf numFmtId="164" fontId="19" fillId="12" borderId="12" xfId="0" applyNumberFormat="1" applyFont="1" applyFill="1" applyBorder="1" applyAlignment="1">
      <alignment horizontal="center" vertical="center"/>
    </xf>
    <xf numFmtId="164" fontId="19" fillId="12" borderId="13" xfId="0" applyNumberFormat="1" applyFont="1" applyFill="1" applyBorder="1" applyAlignment="1">
      <alignment horizontal="center" vertical="center"/>
    </xf>
    <xf numFmtId="164" fontId="19" fillId="12" borderId="14" xfId="0" applyNumberFormat="1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2" fillId="8" borderId="28" xfId="0" applyFont="1" applyFill="1" applyBorder="1" applyAlignment="1">
      <alignment horizontal="center" vertical="center" wrapText="1"/>
    </xf>
    <xf numFmtId="0" fontId="2" fillId="15" borderId="6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10" borderId="0" xfId="0" applyFont="1" applyFill="1" applyAlignment="1">
      <alignment horizontal="center" vertical="center"/>
    </xf>
    <xf numFmtId="0" fontId="2" fillId="7" borderId="20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7" borderId="26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9" borderId="27" xfId="0" applyFont="1" applyFill="1" applyBorder="1" applyAlignment="1">
      <alignment horizontal="center" vertical="center" wrapText="1"/>
    </xf>
    <xf numFmtId="0" fontId="2" fillId="9" borderId="28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15" fillId="12" borderId="27" xfId="0" applyFont="1" applyFill="1" applyBorder="1" applyAlignment="1">
      <alignment horizontal="center" vertical="center" wrapText="1"/>
    </xf>
    <xf numFmtId="0" fontId="15" fillId="12" borderId="28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</cellXfs>
  <cellStyles count="5">
    <cellStyle name="Excel Built-in Normal" xfId="2" xr:uid="{C4B54805-C393-44F4-91B1-8538E85FDD49}"/>
    <cellStyle name="Milliers" xfId="4" builtinId="3"/>
    <cellStyle name="Normal" xfId="0" builtinId="0"/>
    <cellStyle name="Normal 2" xfId="1" xr:uid="{5EC0E3ED-59AB-4799-A883-D0E1B06CA0B6}"/>
    <cellStyle name="Normal 4" xfId="3" xr:uid="{32C9A139-2F99-4A50-9095-B0DBCDE263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342900</xdr:colOff>
          <xdr:row>0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28575</xdr:rowOff>
        </xdr:from>
        <xdr:to>
          <xdr:col>4</xdr:col>
          <xdr:colOff>800100</xdr:colOff>
          <xdr:row>0</xdr:row>
          <xdr:rowOff>295275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0</xdr:row>
          <xdr:rowOff>28575</xdr:rowOff>
        </xdr:from>
        <xdr:to>
          <xdr:col>8</xdr:col>
          <xdr:colOff>247650</xdr:colOff>
          <xdr:row>0</xdr:row>
          <xdr:rowOff>295275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E36DE-B5B4-46CD-A3BE-DFE11CC0475C}">
  <sheetPr codeName="Feuil1"/>
  <dimension ref="A1:AJ330"/>
  <sheetViews>
    <sheetView tabSelected="1" zoomScale="85" zoomScaleNormal="85" workbookViewId="0">
      <selection activeCell="F12" sqref="F12"/>
    </sheetView>
  </sheetViews>
  <sheetFormatPr baseColWidth="10" defaultRowHeight="15" x14ac:dyDescent="0.25"/>
  <cols>
    <col min="1" max="1" width="29" style="6" customWidth="1"/>
    <col min="2" max="2" width="9.140625" style="25" customWidth="1"/>
    <col min="3" max="3" width="9.140625" style="28" customWidth="1"/>
    <col min="4" max="4" width="9.140625" style="7" customWidth="1"/>
    <col min="5" max="5" width="14" customWidth="1"/>
    <col min="6" max="6" width="7.28515625" customWidth="1"/>
    <col min="7" max="7" width="14" customWidth="1"/>
    <col min="8" max="8" width="7.28515625" customWidth="1"/>
    <col min="9" max="9" width="14" customWidth="1"/>
    <col min="10" max="10" width="7.28515625" customWidth="1"/>
    <col min="11" max="11" width="13.7109375" style="80" customWidth="1"/>
    <col min="12" max="12" width="13.7109375" style="96" customWidth="1"/>
    <col min="13" max="13" width="13" style="96" customWidth="1"/>
    <col min="14" max="14" width="8.28515625" customWidth="1"/>
    <col min="15" max="15" width="8.28515625" style="161" customWidth="1"/>
    <col min="16" max="16" width="14" style="22" customWidth="1"/>
    <col min="17" max="17" width="7.7109375" style="24" customWidth="1"/>
    <col min="18" max="18" width="9.140625" style="158" customWidth="1"/>
    <col min="19" max="20" width="9.140625" style="24" customWidth="1"/>
    <col min="21" max="21" width="13.42578125" style="110" customWidth="1"/>
    <col min="22" max="22" width="9.85546875" style="158" customWidth="1"/>
    <col min="23" max="25" width="9.85546875" style="24" customWidth="1"/>
    <col min="26" max="26" width="9.7109375" style="24" customWidth="1"/>
    <col min="27" max="27" width="9.7109375" style="2" customWidth="1"/>
    <col min="28" max="28" width="9.7109375" customWidth="1"/>
    <col min="29" max="29" width="10.42578125" style="5" customWidth="1"/>
    <col min="30" max="30" width="9.140625" style="59" customWidth="1"/>
    <col min="31" max="31" width="15.5703125" style="121" customWidth="1"/>
    <col min="32" max="32" width="15.5703125" style="123" customWidth="1"/>
    <col min="33" max="35" width="14" customWidth="1"/>
    <col min="36" max="36" width="11.42578125" style="4"/>
  </cols>
  <sheetData>
    <row r="1" spans="1:36" ht="26.25" customHeight="1" thickBot="1" x14ac:dyDescent="0.3">
      <c r="A1" s="31"/>
      <c r="B1" s="29"/>
      <c r="C1" s="30"/>
      <c r="D1" s="2"/>
      <c r="E1" s="20"/>
      <c r="F1" s="20"/>
      <c r="G1" s="20"/>
      <c r="H1" s="20"/>
      <c r="I1" s="20"/>
      <c r="J1" s="20"/>
      <c r="K1" s="188" t="s">
        <v>198</v>
      </c>
      <c r="L1" s="188"/>
      <c r="M1" s="188"/>
      <c r="N1" s="188"/>
      <c r="O1" s="188"/>
      <c r="P1" s="64"/>
      <c r="Q1" s="64"/>
      <c r="R1" s="155"/>
      <c r="S1" s="68" t="s">
        <v>199</v>
      </c>
      <c r="T1" s="64"/>
      <c r="U1" s="107"/>
      <c r="V1" s="155"/>
      <c r="W1" s="185" t="s">
        <v>200</v>
      </c>
      <c r="X1" s="186"/>
      <c r="Y1" s="187"/>
      <c r="Z1" s="65"/>
      <c r="AA1" s="66"/>
      <c r="AB1" s="68" t="s">
        <v>199</v>
      </c>
      <c r="AC1" s="67"/>
      <c r="AD1" s="70"/>
      <c r="AE1" s="119"/>
      <c r="AF1" s="71"/>
      <c r="AG1" s="72" t="s">
        <v>197</v>
      </c>
      <c r="AH1" s="71"/>
      <c r="AI1" s="71"/>
      <c r="AJ1" s="32"/>
    </row>
    <row r="2" spans="1:36" s="1" customFormat="1" ht="48" customHeight="1" x14ac:dyDescent="0.25">
      <c r="A2" s="60" t="s">
        <v>9</v>
      </c>
      <c r="B2" s="61" t="s">
        <v>0</v>
      </c>
      <c r="C2" s="62" t="s">
        <v>1</v>
      </c>
      <c r="D2" s="63" t="s">
        <v>2</v>
      </c>
      <c r="E2" s="150" t="s">
        <v>38</v>
      </c>
      <c r="F2" s="151" t="s">
        <v>11</v>
      </c>
      <c r="G2" s="152" t="s">
        <v>39</v>
      </c>
      <c r="H2" s="152" t="s">
        <v>44</v>
      </c>
      <c r="I2" s="153" t="s">
        <v>155</v>
      </c>
      <c r="J2" s="154" t="s">
        <v>44</v>
      </c>
      <c r="K2" s="26" t="s">
        <v>34</v>
      </c>
      <c r="L2" s="19" t="s">
        <v>35</v>
      </c>
      <c r="M2" s="180" t="s">
        <v>30</v>
      </c>
      <c r="N2" s="181"/>
      <c r="O2" s="182"/>
      <c r="P2" s="57" t="s">
        <v>37</v>
      </c>
      <c r="Q2" s="58" t="s">
        <v>11</v>
      </c>
      <c r="R2" s="156" t="s">
        <v>46</v>
      </c>
      <c r="S2" s="52" t="s">
        <v>3</v>
      </c>
      <c r="T2" s="52" t="s">
        <v>76</v>
      </c>
      <c r="U2" s="108" t="s">
        <v>10</v>
      </c>
      <c r="V2" s="172" t="s">
        <v>4</v>
      </c>
      <c r="W2" s="183" t="s">
        <v>45</v>
      </c>
      <c r="X2" s="184"/>
      <c r="Y2" s="173" t="s">
        <v>62</v>
      </c>
      <c r="Z2" s="56" t="s">
        <v>5</v>
      </c>
      <c r="AA2" s="53" t="s">
        <v>6</v>
      </c>
      <c r="AB2" s="54" t="s">
        <v>43</v>
      </c>
      <c r="AC2" s="55" t="s">
        <v>20</v>
      </c>
      <c r="AD2" s="174" t="s">
        <v>7</v>
      </c>
      <c r="AE2" s="175" t="s">
        <v>136</v>
      </c>
      <c r="AF2" s="176" t="s">
        <v>125</v>
      </c>
      <c r="AG2" s="177" t="s">
        <v>50</v>
      </c>
      <c r="AH2" s="178" t="s">
        <v>51</v>
      </c>
      <c r="AI2" s="179" t="s">
        <v>52</v>
      </c>
      <c r="AJ2" s="33"/>
    </row>
    <row r="3" spans="1:36" s="3" customFormat="1" ht="13.5" thickBot="1" x14ac:dyDescent="0.3">
      <c r="A3" s="8" t="s">
        <v>99</v>
      </c>
      <c r="B3" s="8" t="s">
        <v>100</v>
      </c>
      <c r="C3" s="9" t="s">
        <v>100</v>
      </c>
      <c r="D3" s="10" t="s">
        <v>101</v>
      </c>
      <c r="E3" s="9" t="s">
        <v>102</v>
      </c>
      <c r="F3" s="9" t="s">
        <v>102</v>
      </c>
      <c r="G3" s="9" t="s">
        <v>103</v>
      </c>
      <c r="H3" s="9" t="s">
        <v>103</v>
      </c>
      <c r="I3" s="9" t="s">
        <v>103</v>
      </c>
      <c r="J3" s="9" t="s">
        <v>103</v>
      </c>
      <c r="K3" s="27" t="s">
        <v>32</v>
      </c>
      <c r="L3" s="9" t="s">
        <v>32</v>
      </c>
      <c r="M3" s="13" t="s">
        <v>32</v>
      </c>
      <c r="N3" s="9" t="s">
        <v>31</v>
      </c>
      <c r="O3" s="10" t="s">
        <v>33</v>
      </c>
      <c r="P3" s="21" t="s">
        <v>102</v>
      </c>
      <c r="Q3" s="23" t="s">
        <v>102</v>
      </c>
      <c r="R3" s="157" t="s">
        <v>104</v>
      </c>
      <c r="S3" s="23" t="s">
        <v>104</v>
      </c>
      <c r="T3" s="23" t="s">
        <v>104</v>
      </c>
      <c r="U3" s="109" t="s">
        <v>105</v>
      </c>
      <c r="V3" s="157" t="s">
        <v>106</v>
      </c>
      <c r="W3" s="21" t="s">
        <v>63</v>
      </c>
      <c r="X3" s="23" t="s">
        <v>64</v>
      </c>
      <c r="Y3" s="69" t="s">
        <v>32</v>
      </c>
      <c r="Z3" s="23" t="s">
        <v>106</v>
      </c>
      <c r="AA3" s="9" t="s">
        <v>106</v>
      </c>
      <c r="AB3" s="9"/>
      <c r="AC3" s="10"/>
      <c r="AD3" s="9" t="s">
        <v>25</v>
      </c>
      <c r="AE3" s="8" t="s">
        <v>135</v>
      </c>
      <c r="AF3" s="10"/>
      <c r="AG3" s="9" t="s">
        <v>106</v>
      </c>
      <c r="AH3" s="9" t="s">
        <v>107</v>
      </c>
      <c r="AI3" s="9" t="s">
        <v>108</v>
      </c>
      <c r="AJ3" s="34"/>
    </row>
    <row r="4" spans="1:36" x14ac:dyDescent="0.25">
      <c r="L4" s="95"/>
      <c r="M4" s="95"/>
      <c r="O4" s="148"/>
      <c r="P4" s="24"/>
      <c r="R4" s="159"/>
      <c r="U4" s="125"/>
      <c r="V4" s="126"/>
      <c r="W4" s="127"/>
      <c r="Y4" s="100"/>
      <c r="AB4" s="2"/>
      <c r="AC4" s="7"/>
      <c r="AE4" s="120"/>
      <c r="AF4" s="122"/>
    </row>
    <row r="5" spans="1:36" x14ac:dyDescent="0.25">
      <c r="L5" s="95"/>
      <c r="M5" s="95"/>
      <c r="O5" s="148"/>
      <c r="P5" s="24"/>
      <c r="R5" s="159"/>
      <c r="U5" s="125"/>
      <c r="V5" s="126"/>
      <c r="W5" s="127"/>
      <c r="Y5" s="100"/>
      <c r="AB5" s="2"/>
      <c r="AC5" s="7"/>
      <c r="AE5" s="120"/>
      <c r="AF5" s="122"/>
    </row>
    <row r="6" spans="1:36" x14ac:dyDescent="0.25">
      <c r="L6" s="95"/>
      <c r="M6" s="95"/>
      <c r="O6" s="148"/>
      <c r="P6" s="24"/>
      <c r="R6" s="159"/>
      <c r="U6" s="125"/>
      <c r="V6" s="126"/>
      <c r="W6" s="127"/>
      <c r="Y6" s="100"/>
      <c r="AB6" s="2"/>
      <c r="AC6" s="7"/>
      <c r="AE6" s="120"/>
      <c r="AF6" s="122"/>
    </row>
    <row r="7" spans="1:36" x14ac:dyDescent="0.25">
      <c r="L7" s="95"/>
      <c r="M7" s="95"/>
      <c r="O7" s="148"/>
      <c r="P7" s="24"/>
      <c r="R7" s="159"/>
      <c r="U7" s="125"/>
      <c r="V7" s="126"/>
      <c r="W7" s="127"/>
      <c r="Y7" s="100"/>
      <c r="AB7" s="2"/>
      <c r="AC7" s="7"/>
      <c r="AE7" s="120"/>
      <c r="AF7" s="122"/>
    </row>
    <row r="8" spans="1:36" x14ac:dyDescent="0.25">
      <c r="L8" s="95"/>
      <c r="M8" s="95"/>
      <c r="O8" s="148"/>
      <c r="P8" s="24"/>
      <c r="R8" s="159"/>
      <c r="U8" s="125"/>
      <c r="V8" s="126"/>
      <c r="W8" s="127"/>
      <c r="Y8" s="100"/>
      <c r="AB8" s="2"/>
      <c r="AC8" s="7"/>
      <c r="AE8" s="120"/>
      <c r="AF8" s="122"/>
    </row>
    <row r="9" spans="1:36" x14ac:dyDescent="0.25">
      <c r="L9" s="95"/>
      <c r="M9" s="95"/>
      <c r="O9" s="148"/>
      <c r="P9" s="24"/>
      <c r="R9" s="159"/>
      <c r="U9" s="125"/>
      <c r="V9" s="126"/>
      <c r="W9" s="127"/>
      <c r="Y9" s="100"/>
      <c r="AB9" s="2"/>
      <c r="AC9" s="7"/>
      <c r="AE9" s="120"/>
      <c r="AF9" s="122"/>
    </row>
    <row r="10" spans="1:36" x14ac:dyDescent="0.25">
      <c r="L10" s="95"/>
      <c r="M10" s="95"/>
      <c r="O10" s="148"/>
      <c r="P10" s="24"/>
      <c r="R10" s="159"/>
      <c r="U10" s="125"/>
      <c r="V10" s="126"/>
      <c r="W10" s="127"/>
      <c r="Y10" s="100"/>
      <c r="AB10" s="2"/>
      <c r="AC10" s="7"/>
      <c r="AE10" s="120"/>
      <c r="AF10" s="122"/>
    </row>
    <row r="11" spans="1:36" x14ac:dyDescent="0.25">
      <c r="L11" s="95"/>
      <c r="M11" s="95"/>
      <c r="O11" s="148"/>
      <c r="P11" s="24"/>
      <c r="R11" s="159"/>
      <c r="U11" s="125"/>
      <c r="V11" s="126"/>
      <c r="W11" s="127"/>
      <c r="Y11" s="100"/>
      <c r="AB11" s="2"/>
      <c r="AC11" s="7"/>
      <c r="AE11" s="120"/>
      <c r="AF11" s="122"/>
    </row>
    <row r="12" spans="1:36" x14ac:dyDescent="0.25">
      <c r="L12" s="95"/>
      <c r="M12" s="95"/>
      <c r="O12" s="148"/>
      <c r="P12" s="24"/>
      <c r="R12" s="159"/>
      <c r="U12" s="125"/>
      <c r="V12" s="126"/>
      <c r="W12" s="127"/>
      <c r="Y12" s="100"/>
      <c r="AB12" s="2"/>
      <c r="AC12" s="7"/>
      <c r="AE12" s="120"/>
      <c r="AF12" s="122"/>
    </row>
    <row r="13" spans="1:36" x14ac:dyDescent="0.25">
      <c r="L13" s="95"/>
      <c r="M13" s="95"/>
      <c r="O13" s="148"/>
      <c r="P13" s="24"/>
      <c r="R13" s="159"/>
      <c r="U13" s="125"/>
      <c r="V13" s="126"/>
      <c r="W13" s="127"/>
      <c r="Y13" s="100"/>
      <c r="AB13" s="2"/>
      <c r="AC13" s="7"/>
      <c r="AE13" s="120"/>
      <c r="AF13" s="122"/>
    </row>
    <row r="14" spans="1:36" x14ac:dyDescent="0.25">
      <c r="L14" s="95"/>
      <c r="M14" s="95"/>
      <c r="O14" s="148"/>
      <c r="Y14" s="100"/>
      <c r="AB14" s="2"/>
      <c r="AC14" s="7"/>
      <c r="AE14" s="120"/>
      <c r="AF14" s="122"/>
    </row>
    <row r="15" spans="1:36" x14ac:dyDescent="0.25">
      <c r="L15" s="95"/>
      <c r="M15" s="95"/>
      <c r="O15" s="148"/>
      <c r="Y15" s="100"/>
      <c r="AB15" s="2"/>
      <c r="AC15" s="7"/>
      <c r="AE15" s="120"/>
      <c r="AF15" s="122"/>
    </row>
    <row r="16" spans="1:36" x14ac:dyDescent="0.25">
      <c r="L16" s="95"/>
      <c r="M16" s="95"/>
      <c r="O16" s="148"/>
      <c r="Y16" s="100"/>
      <c r="AB16" s="2"/>
      <c r="AC16" s="7"/>
      <c r="AE16" s="120"/>
      <c r="AF16" s="122"/>
    </row>
    <row r="17" spans="12:32" x14ac:dyDescent="0.25">
      <c r="L17" s="95"/>
      <c r="M17" s="95"/>
      <c r="O17" s="148"/>
      <c r="Y17" s="100"/>
      <c r="AB17" s="2"/>
      <c r="AC17" s="7"/>
      <c r="AE17" s="120"/>
      <c r="AF17" s="122"/>
    </row>
    <row r="18" spans="12:32" x14ac:dyDescent="0.25">
      <c r="L18" s="95"/>
      <c r="M18" s="95"/>
      <c r="O18" s="148"/>
      <c r="Y18" s="100"/>
      <c r="AB18" s="2"/>
      <c r="AC18" s="7"/>
      <c r="AE18" s="120"/>
      <c r="AF18" s="122"/>
    </row>
    <row r="19" spans="12:32" x14ac:dyDescent="0.25">
      <c r="L19" s="95"/>
      <c r="M19" s="95"/>
      <c r="O19" s="148"/>
      <c r="Y19" s="100"/>
      <c r="AB19" s="2"/>
      <c r="AC19" s="7"/>
      <c r="AE19" s="120"/>
      <c r="AF19" s="122"/>
    </row>
    <row r="20" spans="12:32" x14ac:dyDescent="0.25">
      <c r="L20" s="95"/>
      <c r="M20" s="95"/>
      <c r="O20" s="148"/>
      <c r="Y20" s="100"/>
      <c r="AB20" s="2"/>
      <c r="AC20" s="7"/>
      <c r="AE20" s="120"/>
      <c r="AF20" s="122"/>
    </row>
    <row r="21" spans="12:32" x14ac:dyDescent="0.25">
      <c r="L21" s="95"/>
      <c r="M21" s="95"/>
      <c r="O21" s="148"/>
      <c r="Y21" s="100"/>
      <c r="AB21" s="2"/>
      <c r="AC21" s="7"/>
      <c r="AE21" s="120"/>
      <c r="AF21" s="122"/>
    </row>
    <row r="22" spans="12:32" x14ac:dyDescent="0.25">
      <c r="L22" s="95"/>
      <c r="M22" s="95"/>
      <c r="O22" s="148"/>
      <c r="Y22" s="100"/>
      <c r="AB22" s="2"/>
      <c r="AC22" s="7"/>
      <c r="AE22" s="120"/>
      <c r="AF22" s="122"/>
    </row>
    <row r="23" spans="12:32" x14ac:dyDescent="0.25">
      <c r="L23" s="95"/>
      <c r="M23" s="95"/>
      <c r="O23" s="148"/>
      <c r="Y23" s="100"/>
      <c r="AB23" s="2"/>
      <c r="AC23" s="7"/>
      <c r="AE23" s="120"/>
      <c r="AF23" s="122"/>
    </row>
    <row r="24" spans="12:32" x14ac:dyDescent="0.25">
      <c r="L24" s="95"/>
      <c r="M24" s="95"/>
      <c r="O24" s="148"/>
      <c r="Y24" s="100"/>
      <c r="AB24" s="2"/>
      <c r="AC24" s="7"/>
      <c r="AE24" s="120"/>
      <c r="AF24" s="122"/>
    </row>
    <row r="25" spans="12:32" x14ac:dyDescent="0.25">
      <c r="L25" s="95"/>
      <c r="M25" s="95"/>
      <c r="O25" s="148"/>
      <c r="Y25" s="100"/>
      <c r="AB25" s="2"/>
      <c r="AC25" s="7"/>
      <c r="AE25" s="120"/>
      <c r="AF25" s="122"/>
    </row>
    <row r="26" spans="12:32" x14ac:dyDescent="0.25">
      <c r="L26" s="95"/>
      <c r="M26" s="95"/>
      <c r="O26" s="148"/>
      <c r="Y26" s="100"/>
      <c r="AB26" s="2"/>
      <c r="AC26" s="7"/>
      <c r="AE26" s="120"/>
      <c r="AF26" s="122"/>
    </row>
    <row r="27" spans="12:32" x14ac:dyDescent="0.25">
      <c r="L27" s="95"/>
      <c r="M27" s="95"/>
      <c r="O27" s="148"/>
      <c r="Y27" s="100"/>
      <c r="AB27" s="2"/>
      <c r="AC27" s="7"/>
      <c r="AE27" s="120"/>
      <c r="AF27" s="122"/>
    </row>
    <row r="28" spans="12:32" x14ac:dyDescent="0.25">
      <c r="L28" s="95"/>
      <c r="M28" s="95"/>
      <c r="O28" s="148"/>
      <c r="Y28" s="100"/>
      <c r="AB28" s="2"/>
      <c r="AC28" s="7"/>
      <c r="AE28" s="120"/>
      <c r="AF28" s="122"/>
    </row>
    <row r="29" spans="12:32" x14ac:dyDescent="0.25">
      <c r="L29" s="95"/>
      <c r="M29" s="95"/>
      <c r="O29" s="148"/>
      <c r="Y29" s="100"/>
      <c r="AB29" s="2"/>
      <c r="AC29" s="7"/>
      <c r="AE29" s="120"/>
      <c r="AF29" s="122"/>
    </row>
    <row r="30" spans="12:32" x14ac:dyDescent="0.25">
      <c r="L30" s="95"/>
      <c r="M30" s="95"/>
      <c r="O30" s="148"/>
      <c r="P30" s="24"/>
      <c r="Y30" s="100"/>
      <c r="AB30" s="2"/>
      <c r="AC30" s="7"/>
      <c r="AE30" s="120"/>
      <c r="AF30" s="122"/>
    </row>
    <row r="31" spans="12:32" x14ac:dyDescent="0.25">
      <c r="L31" s="95"/>
      <c r="M31" s="95"/>
      <c r="O31" s="148"/>
      <c r="P31" s="24"/>
      <c r="R31" s="159"/>
      <c r="U31" s="125"/>
      <c r="V31" s="126"/>
      <c r="W31" s="127"/>
      <c r="Y31" s="100"/>
      <c r="AB31" s="2"/>
      <c r="AC31" s="7"/>
      <c r="AE31" s="120"/>
      <c r="AF31" s="122"/>
    </row>
    <row r="32" spans="12:32" x14ac:dyDescent="0.25">
      <c r="L32" s="95"/>
      <c r="M32" s="95"/>
      <c r="O32" s="148"/>
      <c r="Y32" s="100"/>
      <c r="AB32" s="2"/>
      <c r="AC32" s="7"/>
      <c r="AE32" s="120"/>
      <c r="AF32" s="122"/>
    </row>
    <row r="33" spans="12:32" x14ac:dyDescent="0.25">
      <c r="L33" s="95"/>
      <c r="M33" s="95"/>
      <c r="O33" s="148"/>
      <c r="Y33" s="100"/>
      <c r="AB33" s="2"/>
      <c r="AC33" s="7"/>
      <c r="AE33" s="120"/>
      <c r="AF33" s="122"/>
    </row>
    <row r="34" spans="12:32" x14ac:dyDescent="0.25">
      <c r="L34" s="95"/>
      <c r="M34" s="95"/>
      <c r="O34" s="148"/>
      <c r="Y34" s="100"/>
      <c r="AB34" s="2"/>
      <c r="AC34" s="7"/>
      <c r="AE34" s="120"/>
      <c r="AF34" s="122"/>
    </row>
    <row r="35" spans="12:32" x14ac:dyDescent="0.25">
      <c r="L35" s="95"/>
      <c r="M35" s="95"/>
      <c r="O35" s="148"/>
      <c r="P35" s="24"/>
      <c r="R35" s="159"/>
      <c r="U35" s="125"/>
      <c r="V35" s="126"/>
      <c r="W35" s="127"/>
      <c r="Y35" s="100"/>
      <c r="AB35" s="2"/>
      <c r="AC35" s="7"/>
      <c r="AE35" s="120"/>
      <c r="AF35" s="122"/>
    </row>
    <row r="36" spans="12:32" x14ac:dyDescent="0.25">
      <c r="L36" s="95"/>
      <c r="M36" s="95"/>
      <c r="O36" s="148"/>
      <c r="P36" s="24"/>
      <c r="R36" s="159"/>
      <c r="U36" s="125"/>
      <c r="V36" s="126"/>
      <c r="W36" s="127"/>
      <c r="Y36" s="100"/>
      <c r="AB36" s="2"/>
      <c r="AC36" s="7"/>
      <c r="AE36" s="120"/>
      <c r="AF36" s="122"/>
    </row>
    <row r="37" spans="12:32" x14ac:dyDescent="0.25">
      <c r="L37" s="95"/>
      <c r="M37" s="95"/>
      <c r="O37" s="148"/>
      <c r="P37" s="24"/>
      <c r="R37" s="159"/>
      <c r="U37" s="125"/>
      <c r="V37" s="126"/>
      <c r="W37" s="127"/>
      <c r="Y37" s="100"/>
      <c r="AB37" s="2"/>
      <c r="AC37" s="7"/>
      <c r="AE37" s="120"/>
      <c r="AF37" s="122"/>
    </row>
    <row r="38" spans="12:32" x14ac:dyDescent="0.25">
      <c r="L38" s="95"/>
      <c r="M38" s="95"/>
      <c r="O38" s="148"/>
      <c r="Y38" s="100"/>
      <c r="AB38" s="2"/>
      <c r="AC38" s="7"/>
      <c r="AE38" s="120"/>
      <c r="AF38" s="122"/>
    </row>
    <row r="39" spans="12:32" x14ac:dyDescent="0.25">
      <c r="L39" s="95"/>
      <c r="M39" s="95"/>
      <c r="O39" s="148"/>
      <c r="Y39" s="100"/>
      <c r="AB39" s="2"/>
      <c r="AC39" s="7"/>
      <c r="AE39" s="120"/>
      <c r="AF39" s="122"/>
    </row>
    <row r="40" spans="12:32" x14ac:dyDescent="0.25">
      <c r="L40" s="95"/>
      <c r="M40" s="95"/>
      <c r="O40" s="148"/>
      <c r="Y40" s="100"/>
      <c r="AB40" s="2"/>
      <c r="AC40" s="7"/>
      <c r="AE40" s="120"/>
      <c r="AF40" s="122"/>
    </row>
    <row r="41" spans="12:32" x14ac:dyDescent="0.25">
      <c r="L41" s="95"/>
      <c r="M41" s="95"/>
      <c r="O41" s="148"/>
      <c r="Y41" s="100"/>
      <c r="AB41" s="2"/>
      <c r="AC41" s="7"/>
      <c r="AE41" s="120"/>
      <c r="AF41" s="122"/>
    </row>
    <row r="42" spans="12:32" x14ac:dyDescent="0.25">
      <c r="L42" s="95"/>
      <c r="M42" s="95"/>
      <c r="O42" s="148"/>
      <c r="Y42" s="100"/>
      <c r="AB42" s="2"/>
      <c r="AC42" s="7"/>
      <c r="AE42" s="120"/>
      <c r="AF42" s="122"/>
    </row>
    <row r="43" spans="12:32" x14ac:dyDescent="0.25">
      <c r="L43" s="95"/>
      <c r="M43" s="95"/>
      <c r="O43" s="148"/>
      <c r="P43" s="24"/>
      <c r="R43" s="159"/>
      <c r="U43" s="125"/>
      <c r="V43" s="126"/>
      <c r="W43" s="127"/>
      <c r="Y43" s="100"/>
      <c r="AB43" s="2"/>
      <c r="AC43" s="7"/>
      <c r="AE43" s="120"/>
      <c r="AF43" s="122"/>
    </row>
    <row r="44" spans="12:32" x14ac:dyDescent="0.25">
      <c r="L44" s="95"/>
      <c r="M44" s="95"/>
      <c r="O44" s="148"/>
      <c r="P44" s="24"/>
      <c r="R44" s="159"/>
      <c r="U44" s="125"/>
      <c r="V44" s="126"/>
      <c r="W44" s="127"/>
      <c r="Y44" s="100"/>
      <c r="AB44" s="2"/>
      <c r="AC44" s="7"/>
      <c r="AE44" s="120"/>
      <c r="AF44" s="122"/>
    </row>
    <row r="45" spans="12:32" x14ac:dyDescent="0.25">
      <c r="L45" s="95"/>
      <c r="M45" s="95"/>
      <c r="O45" s="148"/>
      <c r="P45" s="24"/>
      <c r="R45" s="159"/>
      <c r="U45" s="125"/>
      <c r="V45" s="126"/>
      <c r="W45" s="127"/>
      <c r="Y45" s="100"/>
      <c r="AB45" s="2"/>
      <c r="AC45" s="7"/>
      <c r="AE45" s="120"/>
      <c r="AF45" s="122"/>
    </row>
    <row r="46" spans="12:32" x14ac:dyDescent="0.25">
      <c r="L46" s="95"/>
      <c r="M46" s="95"/>
      <c r="O46" s="148"/>
      <c r="P46" s="24"/>
      <c r="R46" s="159"/>
      <c r="U46" s="125"/>
      <c r="V46" s="126"/>
      <c r="W46" s="127"/>
      <c r="Y46" s="100"/>
      <c r="AB46" s="2"/>
      <c r="AC46" s="7"/>
      <c r="AE46" s="120"/>
      <c r="AF46" s="122"/>
    </row>
    <row r="47" spans="12:32" x14ac:dyDescent="0.25">
      <c r="L47" s="95"/>
      <c r="M47" s="95"/>
      <c r="O47" s="148"/>
      <c r="P47" s="24"/>
      <c r="R47" s="159"/>
      <c r="U47" s="125"/>
      <c r="V47" s="126"/>
      <c r="W47" s="127"/>
      <c r="Y47" s="100"/>
      <c r="AB47" s="2"/>
      <c r="AC47" s="7"/>
      <c r="AE47" s="120"/>
      <c r="AF47" s="122"/>
    </row>
    <row r="48" spans="12:32" x14ac:dyDescent="0.25">
      <c r="L48" s="95"/>
      <c r="M48" s="95"/>
      <c r="O48" s="148"/>
      <c r="P48" s="24"/>
      <c r="R48" s="159"/>
      <c r="U48" s="125"/>
      <c r="V48" s="126"/>
      <c r="W48" s="127"/>
      <c r="Y48" s="100"/>
      <c r="AB48" s="2"/>
      <c r="AC48" s="7"/>
      <c r="AE48" s="120"/>
      <c r="AF48" s="122"/>
    </row>
    <row r="49" spans="12:32" x14ac:dyDescent="0.25">
      <c r="L49" s="95"/>
      <c r="M49" s="95"/>
      <c r="O49" s="148"/>
      <c r="P49" s="24"/>
      <c r="R49" s="159"/>
      <c r="U49" s="125"/>
      <c r="V49" s="126"/>
      <c r="W49" s="127"/>
      <c r="Y49" s="100"/>
      <c r="AB49" s="2"/>
      <c r="AC49" s="7"/>
      <c r="AE49" s="120"/>
      <c r="AF49" s="122"/>
    </row>
    <row r="50" spans="12:32" x14ac:dyDescent="0.25">
      <c r="L50" s="95"/>
      <c r="M50" s="95"/>
      <c r="O50" s="148"/>
      <c r="P50" s="24"/>
      <c r="R50" s="159"/>
      <c r="U50" s="125"/>
      <c r="V50" s="126"/>
      <c r="W50" s="127"/>
      <c r="Y50" s="100"/>
      <c r="AB50" s="2"/>
      <c r="AC50" s="7"/>
      <c r="AE50" s="120"/>
      <c r="AF50" s="122"/>
    </row>
    <row r="51" spans="12:32" x14ac:dyDescent="0.25">
      <c r="L51" s="95"/>
      <c r="M51" s="95"/>
      <c r="O51" s="148"/>
      <c r="Y51" s="100"/>
      <c r="AB51" s="2"/>
      <c r="AC51" s="7"/>
      <c r="AE51" s="120"/>
      <c r="AF51" s="122"/>
    </row>
    <row r="52" spans="12:32" x14ac:dyDescent="0.25">
      <c r="L52" s="95"/>
      <c r="M52" s="95"/>
      <c r="O52" s="148"/>
      <c r="Y52" s="100"/>
      <c r="AB52" s="2"/>
      <c r="AC52" s="7"/>
      <c r="AE52" s="120"/>
      <c r="AF52" s="122"/>
    </row>
    <row r="53" spans="12:32" x14ac:dyDescent="0.25">
      <c r="L53" s="95"/>
      <c r="M53" s="95"/>
      <c r="O53" s="148"/>
      <c r="Y53" s="100"/>
      <c r="AB53" s="2"/>
      <c r="AC53" s="7"/>
      <c r="AE53" s="120"/>
      <c r="AF53" s="122"/>
    </row>
    <row r="54" spans="12:32" x14ac:dyDescent="0.25">
      <c r="L54" s="95"/>
      <c r="M54" s="95"/>
      <c r="O54" s="148"/>
      <c r="P54" s="24"/>
      <c r="R54" s="159"/>
      <c r="U54" s="125"/>
      <c r="V54" s="126"/>
      <c r="W54" s="127"/>
      <c r="Y54" s="100"/>
      <c r="AB54" s="2"/>
      <c r="AC54" s="7"/>
      <c r="AE54" s="120"/>
      <c r="AF54" s="122"/>
    </row>
    <row r="55" spans="12:32" x14ac:dyDescent="0.25">
      <c r="L55" s="95"/>
      <c r="M55" s="95"/>
      <c r="O55" s="148"/>
      <c r="P55" s="24"/>
      <c r="R55" s="159"/>
      <c r="U55" s="125"/>
      <c r="V55" s="126"/>
      <c r="W55" s="127"/>
      <c r="Y55" s="100"/>
      <c r="AB55" s="2"/>
      <c r="AC55" s="7"/>
      <c r="AE55" s="120"/>
      <c r="AF55" s="122"/>
    </row>
    <row r="56" spans="12:32" x14ac:dyDescent="0.25">
      <c r="L56" s="95"/>
      <c r="M56" s="95"/>
      <c r="O56" s="148"/>
      <c r="P56" s="24"/>
      <c r="R56" s="159"/>
      <c r="U56" s="125"/>
      <c r="V56" s="126"/>
      <c r="W56" s="127"/>
      <c r="Y56" s="100"/>
      <c r="AB56" s="2"/>
      <c r="AC56" s="7"/>
      <c r="AE56" s="120"/>
      <c r="AF56" s="122"/>
    </row>
    <row r="57" spans="12:32" x14ac:dyDescent="0.25">
      <c r="L57" s="95"/>
      <c r="M57" s="95"/>
      <c r="O57" s="148"/>
      <c r="P57" s="24"/>
      <c r="R57" s="159"/>
      <c r="U57" s="125"/>
      <c r="V57" s="126"/>
      <c r="W57" s="127"/>
      <c r="Y57" s="100"/>
      <c r="AB57" s="2"/>
      <c r="AC57" s="7"/>
      <c r="AE57" s="120"/>
      <c r="AF57" s="122"/>
    </row>
    <row r="58" spans="12:32" x14ac:dyDescent="0.25">
      <c r="L58" s="95"/>
      <c r="M58" s="95"/>
      <c r="O58" s="148"/>
      <c r="P58" s="24"/>
      <c r="R58" s="159"/>
      <c r="U58" s="125"/>
      <c r="V58" s="126"/>
      <c r="W58" s="127"/>
      <c r="Y58" s="100"/>
      <c r="AB58" s="2"/>
      <c r="AC58" s="7"/>
      <c r="AE58" s="120"/>
      <c r="AF58" s="122"/>
    </row>
    <row r="59" spans="12:32" x14ac:dyDescent="0.25">
      <c r="L59" s="95"/>
      <c r="M59" s="95"/>
      <c r="O59" s="148"/>
      <c r="Y59" s="100"/>
      <c r="AB59" s="2"/>
      <c r="AC59" s="7"/>
      <c r="AE59" s="120"/>
      <c r="AF59" s="122"/>
    </row>
    <row r="60" spans="12:32" x14ac:dyDescent="0.25">
      <c r="L60" s="95"/>
      <c r="M60" s="95"/>
      <c r="O60" s="148"/>
      <c r="Y60" s="100"/>
      <c r="AB60" s="2"/>
      <c r="AC60" s="7"/>
      <c r="AE60" s="120"/>
      <c r="AF60" s="122"/>
    </row>
    <row r="61" spans="12:32" x14ac:dyDescent="0.25">
      <c r="L61" s="95"/>
      <c r="M61" s="95"/>
      <c r="O61" s="148"/>
      <c r="Y61" s="100"/>
      <c r="AB61" s="2"/>
      <c r="AC61" s="7"/>
      <c r="AE61" s="120"/>
      <c r="AF61" s="122"/>
    </row>
    <row r="62" spans="12:32" x14ac:dyDescent="0.25">
      <c r="L62" s="95"/>
      <c r="M62" s="95"/>
      <c r="O62" s="148"/>
      <c r="Y62" s="100"/>
      <c r="AB62" s="2"/>
      <c r="AC62" s="7"/>
      <c r="AE62" s="120"/>
      <c r="AF62" s="122"/>
    </row>
    <row r="63" spans="12:32" x14ac:dyDescent="0.25">
      <c r="L63" s="95"/>
      <c r="M63" s="95"/>
      <c r="O63" s="148"/>
      <c r="Y63" s="100"/>
      <c r="AB63" s="2"/>
      <c r="AC63" s="7"/>
      <c r="AE63" s="120"/>
      <c r="AF63" s="122"/>
    </row>
    <row r="64" spans="12:32" x14ac:dyDescent="0.25">
      <c r="L64" s="95"/>
      <c r="M64" s="95"/>
      <c r="O64" s="148"/>
      <c r="Y64" s="100"/>
      <c r="AB64" s="2"/>
      <c r="AC64" s="7"/>
      <c r="AE64" s="120"/>
      <c r="AF64" s="122"/>
    </row>
    <row r="65" spans="1:32" x14ac:dyDescent="0.25">
      <c r="A65" s="128"/>
      <c r="L65" s="95"/>
      <c r="M65" s="95"/>
      <c r="O65" s="148"/>
      <c r="Y65" s="100"/>
      <c r="AB65" s="2"/>
      <c r="AC65" s="7"/>
      <c r="AE65" s="120"/>
      <c r="AF65" s="122"/>
    </row>
    <row r="66" spans="1:32" x14ac:dyDescent="0.25">
      <c r="A66" s="128"/>
      <c r="L66" s="95"/>
      <c r="M66" s="95"/>
      <c r="O66" s="148"/>
      <c r="Y66" s="100"/>
      <c r="AB66" s="2"/>
      <c r="AC66" s="7"/>
      <c r="AE66" s="120"/>
      <c r="AF66" s="122"/>
    </row>
    <row r="67" spans="1:32" x14ac:dyDescent="0.25">
      <c r="A67" s="128"/>
      <c r="L67" s="95"/>
      <c r="M67" s="95"/>
      <c r="O67" s="148"/>
      <c r="P67" s="24"/>
      <c r="Y67" s="100"/>
      <c r="AB67" s="2"/>
      <c r="AC67" s="7"/>
      <c r="AE67" s="120"/>
      <c r="AF67" s="122"/>
    </row>
    <row r="68" spans="1:32" x14ac:dyDescent="0.25">
      <c r="A68" s="128"/>
      <c r="L68" s="95"/>
      <c r="M68" s="95"/>
      <c r="O68" s="148"/>
      <c r="P68" s="24"/>
      <c r="R68" s="159"/>
      <c r="U68" s="125"/>
      <c r="V68" s="126"/>
      <c r="W68" s="127"/>
      <c r="Y68" s="100"/>
      <c r="AB68" s="2"/>
      <c r="AC68" s="7"/>
      <c r="AE68" s="120"/>
      <c r="AF68" s="122"/>
    </row>
    <row r="69" spans="1:32" x14ac:dyDescent="0.25">
      <c r="A69" s="128"/>
      <c r="L69" s="95"/>
      <c r="M69" s="95"/>
      <c r="Y69" s="100"/>
      <c r="AB69" s="2"/>
      <c r="AC69" s="7"/>
      <c r="AE69" s="120"/>
      <c r="AF69" s="122"/>
    </row>
    <row r="70" spans="1:32" x14ac:dyDescent="0.25">
      <c r="A70" s="128"/>
      <c r="L70" s="95"/>
      <c r="M70" s="95"/>
      <c r="Y70" s="100"/>
      <c r="AB70" s="2"/>
      <c r="AC70" s="7"/>
      <c r="AE70" s="120"/>
      <c r="AF70" s="122"/>
    </row>
    <row r="71" spans="1:32" x14ac:dyDescent="0.25">
      <c r="A71" s="128"/>
      <c r="L71" s="95"/>
      <c r="M71" s="95"/>
      <c r="Y71" s="100"/>
      <c r="AB71" s="2"/>
      <c r="AC71" s="7"/>
      <c r="AE71" s="120"/>
      <c r="AF71" s="122"/>
    </row>
    <row r="72" spans="1:32" x14ac:dyDescent="0.25">
      <c r="A72" s="128"/>
      <c r="L72" s="95"/>
      <c r="M72" s="95"/>
      <c r="O72" s="148"/>
      <c r="P72" s="24"/>
      <c r="R72" s="159"/>
      <c r="U72" s="125"/>
      <c r="V72" s="126"/>
      <c r="W72" s="127"/>
      <c r="Y72" s="100"/>
      <c r="AB72" s="2"/>
      <c r="AC72" s="7"/>
      <c r="AE72" s="120"/>
      <c r="AF72" s="122"/>
    </row>
    <row r="73" spans="1:32" x14ac:dyDescent="0.25">
      <c r="A73" s="128"/>
      <c r="L73" s="95"/>
      <c r="M73" s="95"/>
      <c r="O73" s="148"/>
      <c r="P73" s="24"/>
      <c r="R73" s="159"/>
      <c r="U73" s="125"/>
      <c r="V73" s="126"/>
      <c r="W73" s="127"/>
      <c r="Y73" s="100"/>
      <c r="AB73" s="2"/>
      <c r="AC73" s="7"/>
      <c r="AE73" s="120"/>
      <c r="AF73" s="122"/>
    </row>
    <row r="74" spans="1:32" x14ac:dyDescent="0.25">
      <c r="A74" s="128"/>
      <c r="L74" s="95"/>
      <c r="M74" s="95"/>
      <c r="O74" s="148"/>
      <c r="P74" s="24"/>
      <c r="R74" s="159"/>
      <c r="U74" s="125"/>
      <c r="V74" s="126"/>
      <c r="W74" s="127"/>
      <c r="Y74" s="100"/>
      <c r="AB74" s="2"/>
      <c r="AC74" s="7"/>
      <c r="AE74" s="120"/>
      <c r="AF74" s="122"/>
    </row>
    <row r="75" spans="1:32" x14ac:dyDescent="0.25">
      <c r="A75" s="128"/>
      <c r="L75" s="95"/>
      <c r="M75" s="95"/>
      <c r="O75" s="148"/>
      <c r="P75" s="24"/>
      <c r="R75" s="159"/>
      <c r="U75" s="125"/>
      <c r="V75" s="126"/>
      <c r="W75" s="127"/>
      <c r="Y75" s="100"/>
      <c r="AB75" s="2"/>
      <c r="AC75" s="7"/>
      <c r="AE75" s="120"/>
      <c r="AF75" s="122"/>
    </row>
    <row r="76" spans="1:32" x14ac:dyDescent="0.25">
      <c r="A76" s="128"/>
      <c r="L76" s="95"/>
      <c r="M76" s="95"/>
      <c r="O76" s="148"/>
      <c r="P76" s="24"/>
      <c r="R76" s="159"/>
      <c r="U76" s="125"/>
      <c r="V76" s="126"/>
      <c r="W76" s="127"/>
      <c r="Y76" s="100"/>
      <c r="AB76" s="2"/>
      <c r="AC76" s="7"/>
      <c r="AE76" s="120"/>
      <c r="AF76" s="122"/>
    </row>
    <row r="77" spans="1:32" x14ac:dyDescent="0.25">
      <c r="A77" s="128"/>
      <c r="L77" s="95"/>
      <c r="M77" s="95"/>
      <c r="O77" s="148"/>
      <c r="P77" s="24"/>
      <c r="R77" s="159"/>
      <c r="U77" s="125"/>
      <c r="V77" s="126"/>
      <c r="W77" s="127"/>
      <c r="Y77" s="100"/>
      <c r="AB77" s="2"/>
      <c r="AC77" s="7"/>
      <c r="AE77" s="120"/>
      <c r="AF77" s="122"/>
    </row>
    <row r="78" spans="1:32" x14ac:dyDescent="0.25">
      <c r="A78" s="128"/>
      <c r="L78" s="95"/>
      <c r="M78" s="95"/>
      <c r="O78" s="148"/>
      <c r="P78" s="24"/>
      <c r="R78" s="159"/>
      <c r="U78" s="125"/>
      <c r="V78" s="126"/>
      <c r="W78" s="127"/>
      <c r="Y78" s="100"/>
      <c r="AB78" s="2"/>
      <c r="AC78" s="7"/>
      <c r="AE78" s="120"/>
      <c r="AF78" s="122"/>
    </row>
    <row r="79" spans="1:32" x14ac:dyDescent="0.25">
      <c r="A79" s="128"/>
      <c r="L79" s="95"/>
      <c r="M79" s="95"/>
      <c r="O79" s="148"/>
      <c r="P79" s="24"/>
      <c r="R79" s="159"/>
      <c r="U79" s="125"/>
      <c r="V79" s="126"/>
      <c r="W79" s="127"/>
      <c r="Y79" s="100"/>
      <c r="AB79" s="2"/>
      <c r="AC79" s="7"/>
      <c r="AE79" s="120"/>
      <c r="AF79" s="122"/>
    </row>
    <row r="80" spans="1:32" x14ac:dyDescent="0.25">
      <c r="A80" s="128"/>
      <c r="L80" s="95"/>
      <c r="M80" s="95"/>
      <c r="O80" s="148"/>
      <c r="P80" s="24"/>
      <c r="R80" s="159"/>
      <c r="U80" s="125"/>
      <c r="V80" s="126"/>
      <c r="W80" s="127"/>
      <c r="Y80" s="100"/>
      <c r="AB80" s="2"/>
      <c r="AC80" s="7"/>
      <c r="AE80" s="120"/>
      <c r="AF80" s="122"/>
    </row>
    <row r="81" spans="1:32" x14ac:dyDescent="0.25">
      <c r="A81" s="128"/>
      <c r="L81" s="95"/>
      <c r="M81" s="95"/>
      <c r="O81" s="148"/>
      <c r="P81" s="24"/>
      <c r="R81" s="159"/>
      <c r="U81" s="125"/>
      <c r="V81" s="126"/>
      <c r="W81" s="127"/>
      <c r="Y81" s="100"/>
      <c r="AB81" s="2"/>
      <c r="AC81" s="7"/>
      <c r="AE81" s="120"/>
      <c r="AF81" s="122"/>
    </row>
    <row r="82" spans="1:32" x14ac:dyDescent="0.25">
      <c r="A82" s="128"/>
      <c r="L82" s="95"/>
      <c r="M82" s="95"/>
      <c r="O82" s="148"/>
      <c r="P82" s="24"/>
      <c r="R82" s="159"/>
      <c r="U82" s="125"/>
      <c r="V82" s="126"/>
      <c r="W82" s="127"/>
      <c r="Y82" s="100"/>
      <c r="AB82" s="2"/>
      <c r="AC82" s="7"/>
      <c r="AE82" s="120"/>
      <c r="AF82" s="122"/>
    </row>
    <row r="83" spans="1:32" x14ac:dyDescent="0.25">
      <c r="A83" s="128"/>
      <c r="L83" s="95"/>
      <c r="M83" s="95"/>
      <c r="O83" s="148"/>
      <c r="P83" s="24"/>
      <c r="R83" s="159"/>
      <c r="U83" s="125"/>
      <c r="V83" s="126"/>
      <c r="W83" s="127"/>
      <c r="Y83" s="100"/>
      <c r="AB83" s="2"/>
      <c r="AC83" s="7"/>
      <c r="AE83" s="120"/>
      <c r="AF83" s="122"/>
    </row>
    <row r="84" spans="1:32" x14ac:dyDescent="0.25">
      <c r="A84" s="128"/>
      <c r="L84" s="95"/>
      <c r="M84" s="95"/>
      <c r="O84" s="148"/>
      <c r="P84" s="24"/>
      <c r="R84" s="159"/>
      <c r="U84" s="125"/>
      <c r="V84" s="126"/>
      <c r="W84" s="127"/>
      <c r="Y84" s="100"/>
      <c r="AB84" s="2"/>
      <c r="AC84" s="7"/>
      <c r="AE84" s="120"/>
      <c r="AF84" s="122"/>
    </row>
    <row r="85" spans="1:32" x14ac:dyDescent="0.25">
      <c r="A85" s="128"/>
      <c r="L85" s="95"/>
      <c r="M85" s="95"/>
      <c r="O85" s="148"/>
      <c r="P85" s="24"/>
      <c r="R85" s="159"/>
      <c r="U85" s="125"/>
      <c r="V85" s="126"/>
      <c r="W85" s="127"/>
      <c r="Y85" s="100"/>
      <c r="AB85" s="2"/>
      <c r="AC85" s="7"/>
      <c r="AE85" s="120"/>
      <c r="AF85" s="122"/>
    </row>
    <row r="86" spans="1:32" x14ac:dyDescent="0.25">
      <c r="A86" s="128"/>
      <c r="L86" s="95"/>
      <c r="M86" s="95"/>
      <c r="O86" s="148"/>
      <c r="P86" s="24"/>
      <c r="R86" s="159"/>
      <c r="U86" s="125"/>
      <c r="V86" s="126"/>
      <c r="W86" s="127"/>
      <c r="Y86" s="100"/>
      <c r="AB86" s="2"/>
      <c r="AC86" s="7"/>
      <c r="AE86" s="120"/>
      <c r="AF86" s="122"/>
    </row>
    <row r="87" spans="1:32" x14ac:dyDescent="0.25">
      <c r="A87" s="128"/>
      <c r="L87" s="95"/>
      <c r="M87" s="95"/>
      <c r="O87" s="148"/>
      <c r="P87" s="24"/>
      <c r="R87" s="159"/>
      <c r="U87" s="125"/>
      <c r="V87" s="126"/>
      <c r="W87" s="127"/>
      <c r="Y87" s="100"/>
      <c r="AB87" s="2"/>
      <c r="AC87" s="7"/>
      <c r="AE87" s="120"/>
      <c r="AF87" s="122"/>
    </row>
    <row r="88" spans="1:32" x14ac:dyDescent="0.25">
      <c r="A88" s="128"/>
      <c r="L88" s="95"/>
      <c r="M88" s="95"/>
      <c r="Y88" s="100"/>
      <c r="AB88" s="2"/>
      <c r="AC88" s="7"/>
      <c r="AE88" s="120"/>
      <c r="AF88" s="122"/>
    </row>
    <row r="89" spans="1:32" x14ac:dyDescent="0.25">
      <c r="A89" s="128"/>
      <c r="L89" s="95"/>
      <c r="M89" s="95"/>
      <c r="Y89" s="100"/>
      <c r="AB89" s="2"/>
      <c r="AC89" s="7"/>
      <c r="AE89" s="120"/>
      <c r="AF89" s="122"/>
    </row>
    <row r="90" spans="1:32" x14ac:dyDescent="0.25">
      <c r="A90" s="128"/>
      <c r="L90" s="95"/>
      <c r="M90" s="95"/>
      <c r="Y90" s="100"/>
      <c r="AB90" s="2"/>
      <c r="AC90" s="7"/>
      <c r="AE90" s="120"/>
      <c r="AF90" s="122"/>
    </row>
    <row r="91" spans="1:32" x14ac:dyDescent="0.25">
      <c r="A91" s="128"/>
      <c r="L91" s="95"/>
      <c r="M91" s="95"/>
      <c r="Y91" s="100"/>
      <c r="AB91" s="2"/>
      <c r="AC91" s="7"/>
      <c r="AE91" s="120"/>
      <c r="AF91" s="122"/>
    </row>
    <row r="92" spans="1:32" x14ac:dyDescent="0.25">
      <c r="A92" s="128"/>
      <c r="L92" s="95"/>
      <c r="M92" s="95"/>
      <c r="Y92" s="100"/>
      <c r="AB92" s="2"/>
      <c r="AC92" s="7"/>
      <c r="AE92" s="120"/>
      <c r="AF92" s="122"/>
    </row>
    <row r="93" spans="1:32" x14ac:dyDescent="0.25">
      <c r="A93" s="128"/>
      <c r="L93" s="95"/>
      <c r="M93" s="95"/>
      <c r="Y93" s="100"/>
      <c r="AB93" s="2"/>
      <c r="AC93" s="7"/>
      <c r="AE93" s="120"/>
      <c r="AF93" s="122"/>
    </row>
    <row r="94" spans="1:32" x14ac:dyDescent="0.25">
      <c r="A94" s="128"/>
      <c r="L94" s="95"/>
      <c r="M94" s="95"/>
      <c r="Y94" s="100"/>
      <c r="AB94" s="2"/>
      <c r="AC94" s="7"/>
      <c r="AE94" s="120"/>
      <c r="AF94" s="122"/>
    </row>
    <row r="95" spans="1:32" x14ac:dyDescent="0.25">
      <c r="A95" s="128"/>
      <c r="L95" s="95"/>
      <c r="M95" s="95"/>
      <c r="Y95" s="100"/>
      <c r="AB95" s="2"/>
      <c r="AC95" s="7"/>
      <c r="AE95" s="120"/>
      <c r="AF95" s="122"/>
    </row>
    <row r="96" spans="1:32" x14ac:dyDescent="0.25">
      <c r="A96" s="128"/>
      <c r="L96" s="95"/>
      <c r="M96" s="95"/>
      <c r="O96" s="148"/>
      <c r="Y96" s="100"/>
      <c r="AB96" s="2"/>
      <c r="AC96" s="7"/>
      <c r="AE96" s="120"/>
      <c r="AF96" s="122"/>
    </row>
    <row r="97" spans="1:32" x14ac:dyDescent="0.25">
      <c r="A97" s="128"/>
      <c r="L97" s="95"/>
      <c r="M97" s="95"/>
      <c r="O97" s="148"/>
      <c r="Y97" s="100"/>
      <c r="AB97" s="2"/>
      <c r="AC97" s="7"/>
      <c r="AE97" s="120"/>
      <c r="AF97" s="122"/>
    </row>
    <row r="98" spans="1:32" x14ac:dyDescent="0.25">
      <c r="A98" s="128"/>
      <c r="L98" s="95"/>
      <c r="M98" s="95"/>
      <c r="O98" s="148"/>
      <c r="Y98" s="100"/>
      <c r="AB98" s="2"/>
      <c r="AC98" s="7"/>
      <c r="AE98" s="120"/>
      <c r="AF98" s="122"/>
    </row>
    <row r="99" spans="1:32" x14ac:dyDescent="0.25">
      <c r="A99" s="128"/>
      <c r="L99" s="95"/>
      <c r="M99" s="95"/>
      <c r="O99" s="148"/>
      <c r="Y99" s="100"/>
      <c r="AB99" s="2"/>
      <c r="AC99" s="7"/>
      <c r="AE99" s="120"/>
      <c r="AF99" s="122"/>
    </row>
    <row r="100" spans="1:32" x14ac:dyDescent="0.25">
      <c r="A100" s="128"/>
      <c r="L100" s="95"/>
      <c r="M100" s="95"/>
      <c r="O100" s="148"/>
      <c r="Y100" s="100"/>
      <c r="AB100" s="2"/>
      <c r="AC100" s="7"/>
      <c r="AE100" s="120"/>
      <c r="AF100" s="122"/>
    </row>
    <row r="101" spans="1:32" x14ac:dyDescent="0.25">
      <c r="A101" s="128"/>
      <c r="L101" s="95"/>
      <c r="M101" s="95"/>
      <c r="O101" s="148"/>
      <c r="Y101" s="100"/>
      <c r="AB101" s="2"/>
      <c r="AC101" s="7"/>
      <c r="AE101" s="120"/>
      <c r="AF101" s="122"/>
    </row>
    <row r="102" spans="1:32" x14ac:dyDescent="0.25">
      <c r="A102" s="128"/>
      <c r="L102" s="95"/>
      <c r="M102" s="95"/>
      <c r="O102" s="148"/>
      <c r="Y102" s="100"/>
      <c r="AB102" s="2"/>
      <c r="AC102" s="7"/>
      <c r="AE102" s="120"/>
      <c r="AF102" s="122"/>
    </row>
    <row r="103" spans="1:32" x14ac:dyDescent="0.25">
      <c r="A103" s="128"/>
      <c r="L103" s="95"/>
      <c r="M103" s="95"/>
      <c r="O103" s="148"/>
      <c r="Y103" s="100"/>
      <c r="AB103" s="2"/>
      <c r="AC103" s="7"/>
      <c r="AE103" s="120"/>
      <c r="AF103" s="122"/>
    </row>
    <row r="104" spans="1:32" x14ac:dyDescent="0.25">
      <c r="A104" s="128"/>
      <c r="L104" s="95"/>
      <c r="M104" s="95"/>
      <c r="O104" s="148"/>
      <c r="P104" s="24"/>
      <c r="Y104" s="100"/>
      <c r="AB104" s="2"/>
      <c r="AC104" s="7"/>
      <c r="AE104" s="120"/>
      <c r="AF104" s="122"/>
    </row>
    <row r="105" spans="1:32" x14ac:dyDescent="0.25">
      <c r="A105" s="128"/>
      <c r="L105" s="95"/>
      <c r="M105" s="95"/>
      <c r="O105" s="148"/>
      <c r="P105" s="24"/>
      <c r="R105" s="159"/>
      <c r="U105" s="125"/>
      <c r="V105" s="126"/>
      <c r="W105" s="127"/>
      <c r="Y105" s="100"/>
      <c r="AB105" s="2"/>
      <c r="AC105" s="7"/>
      <c r="AE105" s="120"/>
      <c r="AF105" s="122"/>
    </row>
    <row r="106" spans="1:32" x14ac:dyDescent="0.25">
      <c r="A106" s="128"/>
      <c r="L106" s="95"/>
      <c r="M106" s="95"/>
      <c r="Y106" s="100"/>
      <c r="AB106" s="2"/>
      <c r="AC106" s="7"/>
      <c r="AE106" s="120"/>
      <c r="AF106" s="122"/>
    </row>
    <row r="107" spans="1:32" x14ac:dyDescent="0.25">
      <c r="A107" s="128"/>
      <c r="L107" s="95"/>
      <c r="M107" s="95"/>
      <c r="Y107" s="100"/>
      <c r="AB107" s="2"/>
      <c r="AC107" s="7"/>
      <c r="AE107" s="120"/>
      <c r="AF107" s="122"/>
    </row>
    <row r="108" spans="1:32" x14ac:dyDescent="0.25">
      <c r="A108" s="128"/>
      <c r="L108" s="95"/>
      <c r="M108" s="95"/>
      <c r="Y108" s="100"/>
      <c r="AB108" s="2"/>
      <c r="AC108" s="7"/>
      <c r="AE108" s="120"/>
      <c r="AF108" s="122"/>
    </row>
    <row r="109" spans="1:32" x14ac:dyDescent="0.25">
      <c r="A109" s="128"/>
      <c r="L109" s="95"/>
      <c r="M109" s="95"/>
      <c r="O109" s="148"/>
      <c r="P109" s="24"/>
      <c r="R109" s="159"/>
      <c r="U109" s="125"/>
      <c r="V109" s="126"/>
      <c r="W109" s="127"/>
      <c r="Y109" s="100"/>
      <c r="AB109" s="2"/>
      <c r="AC109" s="7"/>
      <c r="AE109" s="120"/>
      <c r="AF109" s="122"/>
    </row>
    <row r="110" spans="1:32" x14ac:dyDescent="0.25">
      <c r="A110" s="128"/>
      <c r="L110" s="95"/>
      <c r="M110" s="95"/>
      <c r="O110" s="148"/>
      <c r="P110" s="24"/>
      <c r="R110" s="159"/>
      <c r="U110" s="125"/>
      <c r="V110" s="126"/>
      <c r="W110" s="127"/>
      <c r="Y110" s="100"/>
      <c r="AB110" s="2"/>
      <c r="AC110" s="7"/>
      <c r="AE110" s="120"/>
      <c r="AF110" s="122"/>
    </row>
    <row r="111" spans="1:32" x14ac:dyDescent="0.25">
      <c r="A111" s="128"/>
      <c r="L111" s="95"/>
      <c r="M111" s="95"/>
      <c r="O111" s="148"/>
      <c r="P111" s="24"/>
      <c r="R111" s="159"/>
      <c r="U111" s="125"/>
      <c r="V111" s="126"/>
      <c r="W111" s="127"/>
      <c r="Y111" s="100"/>
      <c r="AB111" s="2"/>
      <c r="AC111" s="7"/>
      <c r="AE111" s="120"/>
      <c r="AF111" s="122"/>
    </row>
    <row r="112" spans="1:32" x14ac:dyDescent="0.25">
      <c r="A112" s="128"/>
      <c r="L112" s="95"/>
      <c r="M112" s="95"/>
      <c r="O112" s="148"/>
      <c r="P112" s="24"/>
      <c r="R112" s="159"/>
      <c r="U112" s="125"/>
      <c r="V112" s="126"/>
      <c r="W112" s="127"/>
      <c r="Y112" s="100"/>
      <c r="AB112" s="2"/>
      <c r="AC112" s="7"/>
      <c r="AE112" s="120"/>
      <c r="AF112" s="122"/>
    </row>
    <row r="113" spans="1:32" x14ac:dyDescent="0.25">
      <c r="A113" s="128"/>
      <c r="L113" s="95"/>
      <c r="M113" s="95"/>
      <c r="O113" s="148"/>
      <c r="P113" s="24"/>
      <c r="R113" s="159"/>
      <c r="U113" s="125"/>
      <c r="V113" s="126"/>
      <c r="W113" s="127"/>
      <c r="Y113" s="100"/>
      <c r="AB113" s="2"/>
      <c r="AC113" s="7"/>
      <c r="AE113" s="120"/>
      <c r="AF113" s="122"/>
    </row>
    <row r="114" spans="1:32" x14ac:dyDescent="0.25">
      <c r="A114" s="128"/>
      <c r="L114" s="95"/>
      <c r="M114" s="95"/>
      <c r="O114" s="148"/>
      <c r="P114" s="24"/>
      <c r="R114" s="159"/>
      <c r="U114" s="125"/>
      <c r="V114" s="126"/>
      <c r="W114" s="127"/>
      <c r="Y114" s="100"/>
      <c r="AB114" s="2"/>
      <c r="AC114" s="7"/>
      <c r="AE114" s="120"/>
      <c r="AF114" s="122"/>
    </row>
    <row r="118" spans="1:32" x14ac:dyDescent="0.25">
      <c r="A118" s="128"/>
      <c r="L118" s="95"/>
      <c r="M118" s="95"/>
      <c r="O118" s="148"/>
      <c r="P118" s="24"/>
      <c r="R118" s="159"/>
      <c r="U118" s="125"/>
      <c r="V118" s="126"/>
      <c r="W118" s="127"/>
      <c r="Y118" s="100"/>
      <c r="AB118" s="2"/>
      <c r="AC118" s="7"/>
      <c r="AE118" s="120"/>
      <c r="AF118" s="122"/>
    </row>
    <row r="119" spans="1:32" x14ac:dyDescent="0.25">
      <c r="A119" s="128"/>
      <c r="L119" s="95"/>
      <c r="M119" s="95"/>
      <c r="O119" s="148"/>
      <c r="P119" s="24"/>
      <c r="R119" s="159"/>
      <c r="U119" s="125"/>
      <c r="V119" s="126"/>
      <c r="W119" s="127"/>
      <c r="Y119" s="100"/>
      <c r="AB119" s="2"/>
      <c r="AC119" s="7"/>
      <c r="AE119" s="120"/>
      <c r="AF119" s="122"/>
    </row>
    <row r="120" spans="1:32" x14ac:dyDescent="0.25">
      <c r="L120" s="95"/>
      <c r="M120" s="95"/>
      <c r="Y120" s="100"/>
      <c r="AB120" s="2"/>
      <c r="AC120" s="7"/>
      <c r="AE120" s="120"/>
      <c r="AF120" s="122"/>
    </row>
    <row r="121" spans="1:32" x14ac:dyDescent="0.25">
      <c r="L121" s="95"/>
      <c r="M121" s="95"/>
      <c r="Y121" s="100"/>
      <c r="AB121" s="2"/>
      <c r="AC121" s="7"/>
      <c r="AE121" s="120"/>
      <c r="AF121" s="122"/>
    </row>
    <row r="122" spans="1:32" x14ac:dyDescent="0.25">
      <c r="L122" s="95"/>
      <c r="M122" s="95"/>
      <c r="Y122" s="100"/>
      <c r="AB122" s="2"/>
      <c r="AC122" s="7"/>
      <c r="AE122" s="120"/>
      <c r="AF122" s="122"/>
    </row>
    <row r="123" spans="1:32" x14ac:dyDescent="0.25">
      <c r="L123" s="95"/>
      <c r="M123" s="95"/>
      <c r="Y123" s="100"/>
      <c r="AB123" s="2"/>
      <c r="AC123" s="7"/>
      <c r="AE123" s="120"/>
      <c r="AF123" s="122"/>
    </row>
    <row r="124" spans="1:32" x14ac:dyDescent="0.25">
      <c r="L124" s="95"/>
      <c r="M124" s="95"/>
      <c r="Y124" s="100"/>
      <c r="AB124" s="2"/>
      <c r="AC124" s="7"/>
      <c r="AE124" s="120"/>
      <c r="AF124" s="122"/>
    </row>
    <row r="125" spans="1:32" x14ac:dyDescent="0.25">
      <c r="L125" s="95"/>
      <c r="M125" s="95"/>
      <c r="Y125" s="100"/>
      <c r="AB125" s="2"/>
      <c r="AC125" s="7"/>
      <c r="AE125" s="120"/>
      <c r="AF125" s="122"/>
    </row>
    <row r="126" spans="1:32" x14ac:dyDescent="0.25">
      <c r="L126" s="95"/>
      <c r="M126" s="95"/>
      <c r="Y126" s="100"/>
      <c r="AB126" s="2"/>
      <c r="AC126" s="7"/>
      <c r="AE126" s="120"/>
      <c r="AF126" s="122"/>
    </row>
    <row r="127" spans="1:32" x14ac:dyDescent="0.25">
      <c r="L127" s="95"/>
      <c r="M127" s="95"/>
      <c r="Y127" s="100"/>
      <c r="AB127" s="2"/>
      <c r="AC127" s="7"/>
      <c r="AE127" s="120"/>
      <c r="AF127" s="122"/>
    </row>
    <row r="128" spans="1:32" x14ac:dyDescent="0.25">
      <c r="L128" s="95"/>
      <c r="M128" s="95"/>
      <c r="Y128" s="100"/>
      <c r="AB128" s="2"/>
      <c r="AC128" s="7"/>
      <c r="AE128" s="120"/>
      <c r="AF128" s="122"/>
    </row>
    <row r="129" spans="12:32" x14ac:dyDescent="0.25">
      <c r="L129" s="95"/>
      <c r="M129" s="95"/>
      <c r="Y129" s="100"/>
      <c r="AB129" s="2"/>
      <c r="AC129" s="7"/>
      <c r="AE129" s="120"/>
      <c r="AF129" s="122"/>
    </row>
    <row r="130" spans="12:32" x14ac:dyDescent="0.25">
      <c r="L130" s="95"/>
      <c r="M130" s="95"/>
      <c r="Y130" s="100"/>
      <c r="AB130" s="2"/>
      <c r="AC130" s="7"/>
      <c r="AE130" s="120"/>
      <c r="AF130" s="122"/>
    </row>
    <row r="131" spans="12:32" x14ac:dyDescent="0.25">
      <c r="L131" s="95"/>
      <c r="M131" s="95"/>
      <c r="Y131" s="100"/>
      <c r="AB131" s="2"/>
      <c r="AC131" s="7"/>
      <c r="AE131" s="120"/>
      <c r="AF131" s="122"/>
    </row>
    <row r="132" spans="12:32" x14ac:dyDescent="0.25">
      <c r="L132" s="95"/>
      <c r="M132" s="95"/>
      <c r="Y132" s="100"/>
      <c r="AB132" s="2"/>
      <c r="AC132" s="7"/>
      <c r="AE132" s="120"/>
      <c r="AF132" s="122"/>
    </row>
    <row r="133" spans="12:32" x14ac:dyDescent="0.25">
      <c r="L133" s="95"/>
      <c r="M133" s="95"/>
      <c r="Y133" s="100"/>
      <c r="AB133" s="2"/>
      <c r="AC133" s="7"/>
      <c r="AE133" s="120"/>
      <c r="AF133" s="122"/>
    </row>
    <row r="134" spans="12:32" x14ac:dyDescent="0.25">
      <c r="L134" s="95"/>
      <c r="M134" s="95"/>
      <c r="Y134" s="100"/>
      <c r="AB134" s="2"/>
      <c r="AC134" s="7"/>
      <c r="AE134" s="120"/>
      <c r="AF134" s="122"/>
    </row>
    <row r="135" spans="12:32" x14ac:dyDescent="0.25">
      <c r="L135" s="95"/>
      <c r="M135" s="95"/>
      <c r="Y135" s="100"/>
      <c r="AB135" s="2"/>
      <c r="AC135" s="7"/>
      <c r="AE135" s="120"/>
      <c r="AF135" s="122"/>
    </row>
    <row r="136" spans="12:32" x14ac:dyDescent="0.25">
      <c r="L136" s="95"/>
      <c r="M136" s="95"/>
      <c r="Y136" s="100"/>
      <c r="AB136" s="2"/>
      <c r="AC136" s="7"/>
      <c r="AE136" s="120"/>
      <c r="AF136" s="122"/>
    </row>
    <row r="137" spans="12:32" x14ac:dyDescent="0.25">
      <c r="L137" s="95"/>
      <c r="M137" s="95"/>
      <c r="Y137" s="100"/>
      <c r="AB137" s="2"/>
      <c r="AC137" s="7"/>
      <c r="AE137" s="120"/>
      <c r="AF137" s="122"/>
    </row>
    <row r="138" spans="12:32" x14ac:dyDescent="0.25">
      <c r="L138" s="95"/>
      <c r="M138" s="95"/>
      <c r="Y138" s="100"/>
      <c r="AB138" s="2"/>
      <c r="AC138" s="7"/>
      <c r="AE138" s="120"/>
      <c r="AF138" s="122"/>
    </row>
    <row r="139" spans="12:32" x14ac:dyDescent="0.25">
      <c r="L139" s="95"/>
      <c r="M139" s="95"/>
      <c r="Y139" s="100"/>
      <c r="AB139" s="2"/>
      <c r="AC139" s="7"/>
      <c r="AE139" s="120"/>
      <c r="AF139" s="122"/>
    </row>
    <row r="140" spans="12:32" x14ac:dyDescent="0.25">
      <c r="L140" s="95"/>
      <c r="M140" s="95"/>
      <c r="Y140" s="100"/>
      <c r="AB140" s="2"/>
      <c r="AC140" s="7"/>
      <c r="AE140" s="120"/>
      <c r="AF140" s="122"/>
    </row>
    <row r="141" spans="12:32" x14ac:dyDescent="0.25">
      <c r="L141" s="95"/>
      <c r="M141" s="95"/>
      <c r="Y141" s="100"/>
      <c r="AB141" s="2"/>
      <c r="AC141" s="7"/>
      <c r="AE141" s="120"/>
      <c r="AF141" s="122"/>
    </row>
    <row r="142" spans="12:32" x14ac:dyDescent="0.25">
      <c r="L142" s="95"/>
      <c r="M142" s="95"/>
      <c r="Y142" s="100"/>
      <c r="AB142" s="2"/>
      <c r="AC142" s="7"/>
      <c r="AE142" s="120"/>
      <c r="AF142" s="122"/>
    </row>
    <row r="143" spans="12:32" x14ac:dyDescent="0.25">
      <c r="L143" s="95"/>
      <c r="M143" s="95"/>
      <c r="Y143" s="100"/>
      <c r="AB143" s="2"/>
      <c r="AC143" s="7"/>
      <c r="AE143" s="120"/>
      <c r="AF143" s="122"/>
    </row>
    <row r="144" spans="12:32" x14ac:dyDescent="0.25">
      <c r="L144" s="95"/>
      <c r="M144" s="95"/>
      <c r="Y144" s="100"/>
      <c r="AB144" s="2"/>
      <c r="AC144" s="7"/>
      <c r="AE144" s="120"/>
      <c r="AF144" s="122"/>
    </row>
    <row r="145" spans="12:32" x14ac:dyDescent="0.25">
      <c r="L145" s="95"/>
      <c r="M145" s="95"/>
      <c r="Y145" s="100"/>
      <c r="AB145" s="2"/>
      <c r="AC145" s="7"/>
      <c r="AE145" s="120"/>
      <c r="AF145" s="122"/>
    </row>
    <row r="146" spans="12:32" x14ac:dyDescent="0.25">
      <c r="L146" s="95"/>
      <c r="M146" s="95"/>
      <c r="Y146" s="100"/>
      <c r="AB146" s="2"/>
      <c r="AC146" s="7"/>
      <c r="AE146" s="120"/>
      <c r="AF146" s="122"/>
    </row>
    <row r="147" spans="12:32" x14ac:dyDescent="0.25">
      <c r="L147" s="95"/>
      <c r="M147" s="95"/>
      <c r="Y147" s="100"/>
      <c r="AB147" s="2"/>
      <c r="AC147" s="7"/>
      <c r="AE147" s="120"/>
      <c r="AF147" s="122"/>
    </row>
    <row r="148" spans="12:32" x14ac:dyDescent="0.25">
      <c r="L148" s="95"/>
      <c r="M148" s="95"/>
      <c r="Y148" s="100"/>
      <c r="AB148" s="2"/>
      <c r="AC148" s="7"/>
      <c r="AE148" s="120"/>
      <c r="AF148" s="122"/>
    </row>
    <row r="149" spans="12:32" x14ac:dyDescent="0.25">
      <c r="L149" s="95"/>
      <c r="M149" s="95"/>
      <c r="Y149" s="100"/>
      <c r="AB149" s="2"/>
      <c r="AC149" s="7"/>
      <c r="AE149" s="120"/>
      <c r="AF149" s="122"/>
    </row>
    <row r="150" spans="12:32" x14ac:dyDescent="0.25">
      <c r="L150" s="95"/>
      <c r="M150" s="95"/>
      <c r="Y150" s="100"/>
      <c r="AB150" s="2"/>
      <c r="AC150" s="7"/>
      <c r="AE150" s="120"/>
      <c r="AF150" s="122"/>
    </row>
    <row r="151" spans="12:32" x14ac:dyDescent="0.25">
      <c r="L151" s="95"/>
      <c r="M151" s="95"/>
      <c r="Y151" s="100"/>
      <c r="AB151" s="2"/>
      <c r="AC151" s="7"/>
      <c r="AE151" s="120"/>
      <c r="AF151" s="122"/>
    </row>
    <row r="152" spans="12:32" x14ac:dyDescent="0.25">
      <c r="L152" s="95"/>
      <c r="M152" s="95"/>
      <c r="Y152" s="100"/>
      <c r="AB152" s="2"/>
      <c r="AC152" s="7"/>
      <c r="AE152" s="120"/>
      <c r="AF152" s="122"/>
    </row>
    <row r="153" spans="12:32" x14ac:dyDescent="0.25">
      <c r="L153" s="95"/>
      <c r="M153" s="95"/>
      <c r="Y153" s="100"/>
      <c r="AB153" s="2"/>
      <c r="AC153" s="7"/>
      <c r="AE153" s="120"/>
      <c r="AF153" s="122"/>
    </row>
    <row r="154" spans="12:32" x14ac:dyDescent="0.25">
      <c r="L154" s="95"/>
      <c r="M154" s="95"/>
      <c r="Y154" s="100"/>
      <c r="AB154" s="2"/>
      <c r="AC154" s="7"/>
      <c r="AE154" s="120"/>
      <c r="AF154" s="122"/>
    </row>
    <row r="155" spans="12:32" x14ac:dyDescent="0.25">
      <c r="L155" s="95"/>
      <c r="M155" s="95"/>
      <c r="Y155" s="100"/>
      <c r="AB155" s="2"/>
      <c r="AC155" s="7"/>
      <c r="AE155" s="120"/>
      <c r="AF155" s="122"/>
    </row>
    <row r="156" spans="12:32" x14ac:dyDescent="0.25">
      <c r="L156" s="95"/>
      <c r="M156" s="95"/>
      <c r="Y156" s="100"/>
      <c r="AB156" s="2"/>
      <c r="AC156" s="7"/>
      <c r="AE156" s="120"/>
      <c r="AF156" s="122"/>
    </row>
    <row r="157" spans="12:32" x14ac:dyDescent="0.25">
      <c r="L157" s="95"/>
      <c r="M157" s="95"/>
      <c r="Y157" s="100"/>
      <c r="AB157" s="2"/>
      <c r="AC157" s="7"/>
      <c r="AE157" s="120"/>
      <c r="AF157" s="122"/>
    </row>
    <row r="158" spans="12:32" x14ac:dyDescent="0.25">
      <c r="L158" s="95"/>
      <c r="M158" s="95"/>
      <c r="Y158" s="100"/>
      <c r="AB158" s="2"/>
      <c r="AC158" s="7"/>
      <c r="AE158" s="120"/>
      <c r="AF158" s="122"/>
    </row>
    <row r="159" spans="12:32" x14ac:dyDescent="0.25">
      <c r="L159" s="95"/>
      <c r="M159" s="95"/>
      <c r="Y159" s="100"/>
      <c r="AB159" s="2"/>
      <c r="AC159" s="7"/>
      <c r="AE159" s="120"/>
      <c r="AF159" s="122"/>
    </row>
    <row r="160" spans="12:32" x14ac:dyDescent="0.25">
      <c r="L160" s="95"/>
      <c r="M160" s="95"/>
      <c r="Y160" s="100"/>
      <c r="AB160" s="2"/>
      <c r="AC160" s="7"/>
      <c r="AE160" s="120"/>
      <c r="AF160" s="122"/>
    </row>
    <row r="161" spans="12:32" x14ac:dyDescent="0.25">
      <c r="L161" s="95"/>
      <c r="M161" s="95"/>
      <c r="Y161" s="100"/>
      <c r="AB161" s="2"/>
      <c r="AC161" s="7"/>
      <c r="AE161" s="120"/>
      <c r="AF161" s="122"/>
    </row>
    <row r="162" spans="12:32" x14ac:dyDescent="0.25">
      <c r="L162" s="95"/>
      <c r="M162" s="95"/>
      <c r="Y162" s="100"/>
      <c r="AB162" s="2"/>
      <c r="AC162" s="7"/>
      <c r="AE162" s="120"/>
      <c r="AF162" s="122"/>
    </row>
    <row r="163" spans="12:32" x14ac:dyDescent="0.25">
      <c r="L163" s="95"/>
      <c r="M163" s="95"/>
      <c r="Y163" s="100"/>
      <c r="AB163" s="2"/>
      <c r="AC163" s="7"/>
      <c r="AE163" s="120"/>
      <c r="AF163" s="122"/>
    </row>
    <row r="164" spans="12:32" x14ac:dyDescent="0.25">
      <c r="L164" s="95"/>
      <c r="M164" s="95"/>
      <c r="Y164" s="100"/>
      <c r="AB164" s="2"/>
      <c r="AC164" s="7"/>
      <c r="AE164" s="120"/>
      <c r="AF164" s="122"/>
    </row>
    <row r="165" spans="12:32" x14ac:dyDescent="0.25">
      <c r="L165" s="95"/>
      <c r="M165" s="95"/>
      <c r="Y165" s="100"/>
      <c r="AB165" s="2"/>
      <c r="AC165" s="7"/>
      <c r="AE165" s="120"/>
      <c r="AF165" s="122"/>
    </row>
    <row r="166" spans="12:32" x14ac:dyDescent="0.25">
      <c r="L166" s="95"/>
      <c r="M166" s="95"/>
      <c r="Y166" s="100"/>
      <c r="AB166" s="2"/>
      <c r="AC166" s="7"/>
      <c r="AE166" s="120"/>
      <c r="AF166" s="122"/>
    </row>
    <row r="167" spans="12:32" x14ac:dyDescent="0.25">
      <c r="L167" s="95"/>
      <c r="M167" s="95"/>
      <c r="Y167" s="100"/>
      <c r="AB167" s="2"/>
      <c r="AC167" s="7"/>
      <c r="AE167" s="120"/>
      <c r="AF167" s="122"/>
    </row>
    <row r="168" spans="12:32" x14ac:dyDescent="0.25">
      <c r="L168" s="95"/>
      <c r="M168" s="95"/>
      <c r="Y168" s="100"/>
      <c r="AB168" s="2"/>
      <c r="AC168" s="7"/>
      <c r="AE168" s="120"/>
      <c r="AF168" s="122"/>
    </row>
    <row r="169" spans="12:32" x14ac:dyDescent="0.25">
      <c r="L169" s="95"/>
      <c r="M169" s="95"/>
      <c r="Y169" s="100"/>
      <c r="AB169" s="2"/>
      <c r="AC169" s="7"/>
      <c r="AE169" s="120"/>
      <c r="AF169" s="122"/>
    </row>
    <row r="170" spans="12:32" x14ac:dyDescent="0.25">
      <c r="L170" s="95"/>
      <c r="M170" s="95"/>
      <c r="Y170" s="100"/>
      <c r="AB170" s="2"/>
      <c r="AC170" s="7"/>
      <c r="AE170" s="120"/>
      <c r="AF170" s="122"/>
    </row>
    <row r="171" spans="12:32" x14ac:dyDescent="0.25">
      <c r="L171" s="95"/>
      <c r="M171" s="95"/>
      <c r="Y171" s="100"/>
      <c r="AB171" s="2"/>
      <c r="AC171" s="7"/>
      <c r="AE171" s="120"/>
      <c r="AF171" s="122"/>
    </row>
    <row r="172" spans="12:32" x14ac:dyDescent="0.25">
      <c r="L172" s="95"/>
      <c r="M172" s="95"/>
      <c r="Y172" s="100"/>
      <c r="AB172" s="2"/>
      <c r="AC172" s="7"/>
      <c r="AE172" s="120"/>
      <c r="AF172" s="122"/>
    </row>
    <row r="173" spans="12:32" x14ac:dyDescent="0.25">
      <c r="L173" s="95"/>
      <c r="M173" s="95"/>
      <c r="Y173" s="100"/>
      <c r="AB173" s="2"/>
      <c r="AC173" s="7"/>
      <c r="AE173" s="120"/>
      <c r="AF173" s="122"/>
    </row>
    <row r="174" spans="12:32" x14ac:dyDescent="0.25">
      <c r="L174" s="95"/>
      <c r="M174" s="95"/>
      <c r="Y174" s="100"/>
      <c r="AB174" s="2"/>
      <c r="AC174" s="7"/>
      <c r="AE174" s="120"/>
      <c r="AF174" s="122"/>
    </row>
    <row r="175" spans="12:32" x14ac:dyDescent="0.25">
      <c r="L175" s="95"/>
      <c r="M175" s="95"/>
      <c r="Y175" s="100"/>
      <c r="AB175" s="2"/>
      <c r="AC175" s="7"/>
      <c r="AE175" s="120"/>
      <c r="AF175" s="122"/>
    </row>
    <row r="176" spans="12:32" x14ac:dyDescent="0.25">
      <c r="L176" s="95"/>
      <c r="M176" s="95"/>
      <c r="Y176" s="100"/>
      <c r="AB176" s="2"/>
      <c r="AC176" s="7"/>
      <c r="AE176" s="120"/>
      <c r="AF176" s="122"/>
    </row>
    <row r="177" spans="1:32" x14ac:dyDescent="0.25">
      <c r="L177" s="95"/>
      <c r="M177" s="95"/>
      <c r="Y177" s="100"/>
      <c r="AB177" s="2"/>
      <c r="AC177" s="7"/>
      <c r="AE177" s="120"/>
      <c r="AF177" s="122"/>
    </row>
    <row r="178" spans="1:32" x14ac:dyDescent="0.25">
      <c r="L178" s="95"/>
      <c r="M178" s="95"/>
      <c r="Y178" s="100"/>
      <c r="AB178" s="2"/>
      <c r="AC178" s="7"/>
      <c r="AE178" s="120"/>
      <c r="AF178" s="122"/>
    </row>
    <row r="179" spans="1:32" x14ac:dyDescent="0.25">
      <c r="L179" s="95"/>
      <c r="M179" s="95"/>
      <c r="Y179" s="100"/>
      <c r="AB179" s="2"/>
      <c r="AC179" s="7"/>
      <c r="AE179" s="120"/>
      <c r="AF179" s="122"/>
    </row>
    <row r="180" spans="1:32" x14ac:dyDescent="0.25">
      <c r="L180" s="95"/>
      <c r="M180" s="95"/>
      <c r="Y180" s="100"/>
      <c r="AB180" s="2"/>
      <c r="AC180" s="7"/>
      <c r="AE180" s="120"/>
      <c r="AF180" s="122"/>
    </row>
    <row r="181" spans="1:32" x14ac:dyDescent="0.25">
      <c r="L181" s="95"/>
      <c r="M181" s="95"/>
      <c r="Y181" s="100"/>
      <c r="AB181" s="2"/>
      <c r="AC181" s="7"/>
      <c r="AE181" s="120"/>
      <c r="AF181" s="122"/>
    </row>
    <row r="182" spans="1:32" x14ac:dyDescent="0.25">
      <c r="L182" s="95"/>
      <c r="M182" s="95"/>
      <c r="Y182" s="100"/>
      <c r="AB182" s="2"/>
      <c r="AC182" s="7"/>
      <c r="AE182" s="120"/>
      <c r="AF182" s="122"/>
    </row>
    <row r="183" spans="1:32" x14ac:dyDescent="0.25">
      <c r="A183" s="128"/>
      <c r="L183" s="95"/>
      <c r="M183" s="95"/>
      <c r="P183" s="24"/>
      <c r="Q183" s="124"/>
      <c r="R183" s="159"/>
      <c r="U183" s="125"/>
      <c r="V183" s="126"/>
      <c r="W183" s="127"/>
      <c r="Y183" s="100"/>
      <c r="AB183" s="2"/>
      <c r="AC183" s="7"/>
      <c r="AE183" s="120"/>
      <c r="AF183" s="122"/>
    </row>
    <row r="184" spans="1:32" x14ac:dyDescent="0.25">
      <c r="A184" s="128"/>
      <c r="L184" s="95"/>
      <c r="M184" s="95"/>
      <c r="P184" s="24"/>
      <c r="Q184" s="124"/>
      <c r="R184" s="159"/>
      <c r="U184" s="125"/>
      <c r="V184" s="126"/>
      <c r="W184" s="127"/>
      <c r="Y184" s="100"/>
      <c r="AB184" s="2"/>
      <c r="AC184" s="7"/>
      <c r="AE184" s="120"/>
      <c r="AF184" s="122"/>
    </row>
    <row r="185" spans="1:32" x14ac:dyDescent="0.25">
      <c r="A185" s="128"/>
      <c r="L185" s="95"/>
      <c r="M185" s="95"/>
      <c r="P185" s="24"/>
      <c r="Q185" s="124"/>
      <c r="R185" s="159"/>
      <c r="U185" s="125"/>
      <c r="V185" s="126"/>
      <c r="W185" s="127"/>
      <c r="Y185" s="100"/>
      <c r="AB185" s="2"/>
      <c r="AC185" s="7"/>
      <c r="AE185" s="120"/>
      <c r="AF185" s="122"/>
    </row>
    <row r="186" spans="1:32" x14ac:dyDescent="0.25">
      <c r="A186" s="128"/>
      <c r="L186" s="95"/>
      <c r="M186" s="95"/>
      <c r="P186" s="24"/>
      <c r="Q186" s="124"/>
      <c r="R186" s="159"/>
      <c r="U186" s="125"/>
      <c r="V186" s="126"/>
      <c r="W186" s="127"/>
      <c r="Y186" s="100"/>
      <c r="AB186" s="2"/>
      <c r="AC186" s="7"/>
      <c r="AE186" s="120"/>
      <c r="AF186" s="122"/>
    </row>
    <row r="187" spans="1:32" x14ac:dyDescent="0.25">
      <c r="A187" s="128"/>
      <c r="L187" s="95"/>
      <c r="M187" s="95"/>
      <c r="P187" s="24"/>
      <c r="Q187" s="124"/>
      <c r="R187" s="159"/>
      <c r="U187" s="125"/>
      <c r="V187" s="126"/>
      <c r="W187" s="127"/>
      <c r="Y187" s="100"/>
      <c r="AB187" s="2"/>
      <c r="AC187" s="7"/>
      <c r="AE187" s="120"/>
      <c r="AF187" s="122"/>
    </row>
    <row r="188" spans="1:32" x14ac:dyDescent="0.25">
      <c r="A188" s="128"/>
      <c r="L188" s="95"/>
      <c r="M188" s="95"/>
      <c r="P188" s="24"/>
      <c r="Q188" s="124"/>
      <c r="R188" s="159"/>
      <c r="U188" s="125"/>
      <c r="V188" s="126"/>
      <c r="W188" s="127"/>
      <c r="Y188" s="100"/>
      <c r="AB188" s="2"/>
      <c r="AC188" s="7"/>
      <c r="AE188" s="120"/>
      <c r="AF188" s="122"/>
    </row>
    <row r="189" spans="1:32" x14ac:dyDescent="0.25">
      <c r="A189" s="128"/>
      <c r="L189" s="95"/>
      <c r="M189" s="95"/>
      <c r="P189" s="24"/>
      <c r="Q189" s="124"/>
      <c r="R189" s="159"/>
      <c r="U189" s="125"/>
      <c r="V189" s="126"/>
      <c r="W189" s="127"/>
      <c r="Y189" s="100"/>
      <c r="AB189" s="2"/>
      <c r="AC189" s="7"/>
      <c r="AE189" s="120"/>
      <c r="AF189" s="122"/>
    </row>
    <row r="190" spans="1:32" x14ac:dyDescent="0.25">
      <c r="A190" s="128"/>
      <c r="L190" s="95"/>
      <c r="M190" s="95"/>
      <c r="P190" s="24"/>
      <c r="Q190" s="124"/>
      <c r="R190" s="159"/>
      <c r="U190" s="125"/>
      <c r="V190" s="126"/>
      <c r="W190" s="127"/>
      <c r="Y190" s="100"/>
      <c r="AB190" s="2"/>
      <c r="AC190" s="7"/>
      <c r="AE190" s="120"/>
      <c r="AF190" s="122"/>
    </row>
    <row r="191" spans="1:32" x14ac:dyDescent="0.25">
      <c r="A191" s="128"/>
      <c r="L191" s="95"/>
      <c r="M191" s="95"/>
      <c r="P191" s="24"/>
      <c r="Q191" s="124"/>
      <c r="R191" s="159"/>
      <c r="U191" s="125"/>
      <c r="V191" s="126"/>
      <c r="W191" s="127"/>
      <c r="Y191" s="100"/>
      <c r="AB191" s="2"/>
      <c r="AC191" s="7"/>
      <c r="AE191" s="120"/>
      <c r="AF191" s="122"/>
    </row>
    <row r="192" spans="1:32" x14ac:dyDescent="0.25">
      <c r="A192" s="128"/>
      <c r="L192" s="95"/>
      <c r="M192" s="95"/>
      <c r="P192" s="24"/>
      <c r="Q192" s="124"/>
      <c r="R192" s="159"/>
      <c r="U192" s="125"/>
      <c r="V192" s="126"/>
      <c r="W192" s="127"/>
      <c r="Y192" s="100"/>
      <c r="AB192" s="2"/>
      <c r="AC192" s="7"/>
      <c r="AE192" s="120"/>
      <c r="AF192" s="122"/>
    </row>
    <row r="193" spans="1:32" x14ac:dyDescent="0.25">
      <c r="A193" s="128"/>
      <c r="L193" s="95"/>
      <c r="M193" s="95"/>
      <c r="P193" s="24"/>
      <c r="Q193" s="124"/>
      <c r="R193" s="159"/>
      <c r="U193" s="125"/>
      <c r="V193" s="126"/>
      <c r="W193" s="127"/>
      <c r="Y193" s="100"/>
      <c r="AB193" s="2"/>
      <c r="AC193" s="7"/>
      <c r="AE193" s="120"/>
      <c r="AF193" s="122"/>
    </row>
    <row r="194" spans="1:32" x14ac:dyDescent="0.25">
      <c r="L194" s="95"/>
      <c r="M194" s="95"/>
      <c r="Y194" s="100"/>
      <c r="AB194" s="2"/>
      <c r="AC194" s="7"/>
      <c r="AE194" s="120"/>
      <c r="AF194" s="122"/>
    </row>
    <row r="195" spans="1:32" x14ac:dyDescent="0.25">
      <c r="L195" s="95"/>
      <c r="M195" s="95"/>
      <c r="Y195" s="100"/>
      <c r="AB195" s="2"/>
      <c r="AC195" s="7"/>
      <c r="AE195" s="120"/>
      <c r="AF195" s="122"/>
    </row>
    <row r="196" spans="1:32" x14ac:dyDescent="0.25">
      <c r="L196" s="95"/>
      <c r="M196" s="95"/>
      <c r="Y196" s="100"/>
      <c r="AB196" s="2"/>
      <c r="AC196" s="7"/>
      <c r="AE196" s="120"/>
      <c r="AF196" s="122"/>
    </row>
    <row r="197" spans="1:32" x14ac:dyDescent="0.25">
      <c r="L197" s="95"/>
      <c r="M197" s="95"/>
      <c r="Y197" s="100"/>
      <c r="AB197" s="2"/>
      <c r="AC197" s="7"/>
      <c r="AE197" s="120"/>
      <c r="AF197" s="122"/>
    </row>
    <row r="198" spans="1:32" x14ac:dyDescent="0.25">
      <c r="L198" s="95"/>
      <c r="M198" s="95"/>
      <c r="Y198" s="100"/>
      <c r="AB198" s="2"/>
      <c r="AC198" s="7"/>
      <c r="AE198" s="120"/>
      <c r="AF198" s="122"/>
    </row>
    <row r="199" spans="1:32" x14ac:dyDescent="0.25">
      <c r="L199" s="95"/>
      <c r="M199" s="95"/>
      <c r="Y199" s="100"/>
      <c r="AB199" s="2"/>
      <c r="AC199" s="7"/>
      <c r="AE199" s="120"/>
      <c r="AF199" s="122"/>
    </row>
    <row r="200" spans="1:32" x14ac:dyDescent="0.25">
      <c r="L200" s="95"/>
      <c r="M200" s="95"/>
      <c r="Y200" s="100"/>
      <c r="AB200" s="2"/>
      <c r="AC200" s="7"/>
      <c r="AE200" s="120"/>
      <c r="AF200" s="122"/>
    </row>
    <row r="201" spans="1:32" x14ac:dyDescent="0.25">
      <c r="L201" s="95"/>
      <c r="M201" s="95"/>
      <c r="Y201" s="100"/>
      <c r="AB201" s="2"/>
      <c r="AC201" s="7"/>
      <c r="AE201" s="120"/>
      <c r="AF201" s="122"/>
    </row>
    <row r="202" spans="1:32" x14ac:dyDescent="0.25">
      <c r="L202" s="95"/>
      <c r="M202" s="95"/>
      <c r="Y202" s="100"/>
      <c r="AB202" s="2"/>
      <c r="AC202" s="7"/>
      <c r="AE202" s="120"/>
      <c r="AF202" s="122"/>
    </row>
    <row r="203" spans="1:32" x14ac:dyDescent="0.25">
      <c r="L203" s="95"/>
      <c r="M203" s="95"/>
      <c r="Y203" s="100"/>
      <c r="AB203" s="2"/>
      <c r="AC203" s="7"/>
      <c r="AE203" s="120"/>
      <c r="AF203" s="122"/>
    </row>
    <row r="204" spans="1:32" x14ac:dyDescent="0.25">
      <c r="L204" s="95"/>
      <c r="M204" s="95"/>
      <c r="Y204" s="100"/>
      <c r="AB204" s="2"/>
      <c r="AC204" s="7"/>
      <c r="AE204" s="120"/>
      <c r="AF204" s="122"/>
    </row>
    <row r="205" spans="1:32" x14ac:dyDescent="0.25">
      <c r="L205" s="95"/>
      <c r="M205" s="95"/>
      <c r="Y205" s="100"/>
      <c r="AB205" s="2"/>
      <c r="AC205" s="7"/>
      <c r="AE205" s="120"/>
      <c r="AF205" s="122"/>
    </row>
    <row r="206" spans="1:32" x14ac:dyDescent="0.25">
      <c r="L206" s="95"/>
      <c r="M206" s="95"/>
      <c r="Y206" s="100"/>
      <c r="AB206" s="2"/>
      <c r="AC206" s="7"/>
      <c r="AE206" s="120"/>
      <c r="AF206" s="122"/>
    </row>
    <row r="207" spans="1:32" x14ac:dyDescent="0.25">
      <c r="L207" s="95"/>
      <c r="M207" s="95"/>
      <c r="Y207" s="100"/>
      <c r="AB207" s="2"/>
      <c r="AC207" s="7"/>
      <c r="AE207" s="120"/>
      <c r="AF207" s="122"/>
    </row>
    <row r="208" spans="1:32" x14ac:dyDescent="0.25">
      <c r="L208" s="95"/>
      <c r="M208" s="95"/>
      <c r="Y208" s="100"/>
      <c r="AB208" s="2"/>
      <c r="AC208" s="7"/>
      <c r="AE208" s="120"/>
      <c r="AF208" s="122"/>
    </row>
    <row r="209" spans="12:32" x14ac:dyDescent="0.25">
      <c r="L209" s="95"/>
      <c r="M209" s="95"/>
      <c r="Y209" s="100"/>
      <c r="AB209" s="2"/>
      <c r="AC209" s="7"/>
      <c r="AE209" s="120"/>
      <c r="AF209" s="122"/>
    </row>
    <row r="210" spans="12:32" x14ac:dyDescent="0.25">
      <c r="L210" s="95"/>
      <c r="M210" s="95"/>
      <c r="Y210" s="100"/>
      <c r="AB210" s="2"/>
      <c r="AC210" s="7"/>
      <c r="AE210" s="120"/>
      <c r="AF210" s="122"/>
    </row>
    <row r="211" spans="12:32" x14ac:dyDescent="0.25">
      <c r="L211" s="95"/>
      <c r="M211" s="95"/>
      <c r="Y211" s="100"/>
      <c r="AB211" s="2"/>
      <c r="AC211" s="7"/>
      <c r="AE211" s="120"/>
      <c r="AF211" s="122"/>
    </row>
    <row r="212" spans="12:32" x14ac:dyDescent="0.25">
      <c r="L212" s="95"/>
      <c r="M212" s="95"/>
      <c r="Y212" s="100"/>
      <c r="AB212" s="2"/>
      <c r="AC212" s="7"/>
      <c r="AE212" s="120"/>
      <c r="AF212" s="122"/>
    </row>
    <row r="213" spans="12:32" x14ac:dyDescent="0.25">
      <c r="L213" s="95"/>
      <c r="M213" s="95"/>
      <c r="Y213" s="100"/>
      <c r="AB213" s="2"/>
      <c r="AC213" s="7"/>
      <c r="AE213" s="120"/>
      <c r="AF213" s="122"/>
    </row>
    <row r="214" spans="12:32" x14ac:dyDescent="0.25">
      <c r="L214" s="95"/>
      <c r="M214" s="95"/>
      <c r="Y214" s="100"/>
      <c r="AB214" s="2"/>
      <c r="AC214" s="7"/>
      <c r="AE214" s="120"/>
      <c r="AF214" s="122"/>
    </row>
    <row r="215" spans="12:32" x14ac:dyDescent="0.25">
      <c r="L215" s="95"/>
      <c r="M215" s="95"/>
      <c r="Y215" s="100"/>
      <c r="AB215" s="2"/>
      <c r="AC215" s="7"/>
      <c r="AE215" s="120"/>
      <c r="AF215" s="122"/>
    </row>
    <row r="216" spans="12:32" x14ac:dyDescent="0.25">
      <c r="L216" s="95"/>
      <c r="M216" s="95"/>
      <c r="Y216" s="100"/>
      <c r="AB216" s="2"/>
      <c r="AC216" s="7"/>
      <c r="AE216" s="120"/>
      <c r="AF216" s="122"/>
    </row>
    <row r="217" spans="12:32" x14ac:dyDescent="0.25">
      <c r="L217" s="95"/>
      <c r="M217" s="95"/>
      <c r="Y217" s="100"/>
      <c r="AB217" s="2"/>
      <c r="AC217" s="7"/>
      <c r="AE217" s="120"/>
      <c r="AF217" s="122"/>
    </row>
    <row r="218" spans="12:32" x14ac:dyDescent="0.25">
      <c r="L218" s="95"/>
      <c r="M218" s="95"/>
      <c r="Y218" s="100"/>
      <c r="AB218" s="2"/>
      <c r="AC218" s="7"/>
      <c r="AE218" s="120"/>
      <c r="AF218" s="122"/>
    </row>
    <row r="219" spans="12:32" x14ac:dyDescent="0.25">
      <c r="L219" s="95"/>
      <c r="M219" s="95"/>
      <c r="Y219" s="100"/>
      <c r="AB219" s="2"/>
      <c r="AC219" s="7"/>
      <c r="AE219" s="120"/>
      <c r="AF219" s="122"/>
    </row>
    <row r="220" spans="12:32" x14ac:dyDescent="0.25">
      <c r="L220" s="95"/>
      <c r="M220" s="95"/>
      <c r="Y220" s="100"/>
      <c r="AB220" s="2"/>
      <c r="AC220" s="7"/>
      <c r="AE220" s="120"/>
      <c r="AF220" s="122"/>
    </row>
    <row r="221" spans="12:32" x14ac:dyDescent="0.25">
      <c r="L221" s="95"/>
      <c r="M221" s="95"/>
      <c r="Y221" s="100"/>
      <c r="AB221" s="2"/>
      <c r="AC221" s="7"/>
      <c r="AE221" s="120"/>
      <c r="AF221" s="122"/>
    </row>
    <row r="222" spans="12:32" x14ac:dyDescent="0.25">
      <c r="L222" s="95"/>
      <c r="M222" s="95"/>
      <c r="Y222" s="100"/>
      <c r="AB222" s="2"/>
      <c r="AC222" s="7"/>
      <c r="AE222" s="120"/>
      <c r="AF222" s="122"/>
    </row>
    <row r="223" spans="12:32" x14ac:dyDescent="0.25">
      <c r="L223" s="95"/>
      <c r="M223" s="95"/>
      <c r="Y223" s="100"/>
      <c r="AB223" s="2"/>
      <c r="AC223" s="7"/>
      <c r="AE223" s="120"/>
      <c r="AF223" s="122"/>
    </row>
    <row r="224" spans="12:32" x14ac:dyDescent="0.25">
      <c r="L224" s="95"/>
      <c r="M224" s="95"/>
      <c r="Y224" s="100"/>
      <c r="AB224" s="2"/>
      <c r="AC224" s="7"/>
      <c r="AE224" s="120"/>
      <c r="AF224" s="122"/>
    </row>
    <row r="225" spans="12:32" x14ac:dyDescent="0.25">
      <c r="L225" s="95"/>
      <c r="M225" s="95"/>
      <c r="Y225" s="100"/>
      <c r="AB225" s="2"/>
      <c r="AC225" s="7"/>
      <c r="AE225" s="120"/>
      <c r="AF225" s="122"/>
    </row>
    <row r="226" spans="12:32" x14ac:dyDescent="0.25">
      <c r="L226" s="95"/>
      <c r="M226" s="95"/>
      <c r="Y226" s="100"/>
      <c r="AB226" s="2"/>
      <c r="AC226" s="7"/>
      <c r="AE226" s="120"/>
      <c r="AF226" s="122"/>
    </row>
    <row r="227" spans="12:32" x14ac:dyDescent="0.25">
      <c r="L227" s="95"/>
      <c r="M227" s="95"/>
      <c r="Y227" s="100"/>
      <c r="AB227" s="2"/>
      <c r="AC227" s="7"/>
      <c r="AE227" s="120"/>
      <c r="AF227" s="122"/>
    </row>
    <row r="228" spans="12:32" x14ac:dyDescent="0.25">
      <c r="L228" s="95"/>
      <c r="M228" s="95"/>
      <c r="Y228" s="100"/>
      <c r="AB228" s="2"/>
      <c r="AC228" s="7"/>
      <c r="AE228" s="120"/>
      <c r="AF228" s="122"/>
    </row>
    <row r="229" spans="12:32" x14ac:dyDescent="0.25">
      <c r="L229" s="95"/>
      <c r="M229" s="95"/>
      <c r="Y229" s="100"/>
      <c r="AB229" s="2"/>
      <c r="AC229" s="7"/>
      <c r="AE229" s="120"/>
      <c r="AF229" s="122"/>
    </row>
    <row r="230" spans="12:32" x14ac:dyDescent="0.25">
      <c r="L230" s="95"/>
      <c r="M230" s="95"/>
      <c r="Y230" s="100"/>
      <c r="AB230" s="2"/>
      <c r="AC230" s="7"/>
      <c r="AE230" s="120"/>
      <c r="AF230" s="122"/>
    </row>
    <row r="231" spans="12:32" x14ac:dyDescent="0.25">
      <c r="L231" s="95"/>
      <c r="M231" s="95"/>
      <c r="Y231" s="100"/>
      <c r="AB231" s="2"/>
      <c r="AC231" s="7"/>
      <c r="AE231" s="120"/>
      <c r="AF231" s="122"/>
    </row>
    <row r="232" spans="12:32" x14ac:dyDescent="0.25">
      <c r="L232" s="95"/>
      <c r="M232" s="95"/>
      <c r="Y232" s="100"/>
      <c r="AB232" s="2"/>
      <c r="AC232" s="7"/>
      <c r="AE232" s="120"/>
      <c r="AF232" s="122"/>
    </row>
    <row r="233" spans="12:32" x14ac:dyDescent="0.25">
      <c r="L233" s="95"/>
      <c r="M233" s="95"/>
      <c r="Y233" s="100"/>
      <c r="AB233" s="2"/>
      <c r="AC233" s="7"/>
      <c r="AE233" s="120"/>
      <c r="AF233" s="122"/>
    </row>
    <row r="234" spans="12:32" x14ac:dyDescent="0.25">
      <c r="L234" s="95"/>
      <c r="M234" s="95"/>
      <c r="Y234" s="100"/>
      <c r="AB234" s="2"/>
      <c r="AC234" s="7"/>
      <c r="AE234" s="120"/>
      <c r="AF234" s="122"/>
    </row>
    <row r="235" spans="12:32" x14ac:dyDescent="0.25">
      <c r="L235" s="95"/>
      <c r="M235" s="95"/>
      <c r="Y235" s="100"/>
      <c r="AB235" s="2"/>
      <c r="AC235" s="7"/>
      <c r="AE235" s="120"/>
      <c r="AF235" s="122"/>
    </row>
    <row r="236" spans="12:32" x14ac:dyDescent="0.25">
      <c r="L236" s="95"/>
      <c r="M236" s="95"/>
      <c r="Y236" s="100"/>
      <c r="AB236" s="2"/>
      <c r="AC236" s="7"/>
      <c r="AE236" s="120"/>
      <c r="AF236" s="122"/>
    </row>
    <row r="237" spans="12:32" x14ac:dyDescent="0.25">
      <c r="L237" s="95"/>
      <c r="M237" s="95"/>
      <c r="Y237" s="100"/>
      <c r="AB237" s="2"/>
      <c r="AC237" s="7"/>
      <c r="AE237" s="120"/>
      <c r="AF237" s="122"/>
    </row>
    <row r="238" spans="12:32" x14ac:dyDescent="0.25">
      <c r="L238" s="95"/>
      <c r="M238" s="95"/>
      <c r="Y238" s="100"/>
      <c r="AB238" s="2"/>
      <c r="AC238" s="7"/>
      <c r="AE238" s="120"/>
      <c r="AF238" s="122"/>
    </row>
    <row r="239" spans="12:32" x14ac:dyDescent="0.25">
      <c r="L239" s="95"/>
      <c r="M239" s="95"/>
      <c r="Y239" s="100"/>
      <c r="AB239" s="2"/>
      <c r="AC239" s="7"/>
      <c r="AE239" s="120"/>
      <c r="AF239" s="122"/>
    </row>
    <row r="240" spans="12:32" x14ac:dyDescent="0.25">
      <c r="L240" s="95"/>
      <c r="M240" s="95"/>
      <c r="Y240" s="100"/>
      <c r="AB240" s="2"/>
      <c r="AC240" s="7"/>
      <c r="AE240" s="120"/>
      <c r="AF240" s="122"/>
    </row>
    <row r="241" spans="12:32" x14ac:dyDescent="0.25">
      <c r="L241" s="95"/>
      <c r="M241" s="95"/>
      <c r="Y241" s="100"/>
      <c r="AB241" s="2"/>
      <c r="AC241" s="7"/>
      <c r="AE241" s="120"/>
      <c r="AF241" s="122"/>
    </row>
    <row r="242" spans="12:32" x14ac:dyDescent="0.25">
      <c r="L242" s="95"/>
      <c r="M242" s="95"/>
      <c r="Y242" s="100"/>
      <c r="AB242" s="2"/>
      <c r="AC242" s="7"/>
      <c r="AE242" s="120"/>
      <c r="AF242" s="122"/>
    </row>
    <row r="243" spans="12:32" x14ac:dyDescent="0.25">
      <c r="L243" s="95"/>
      <c r="M243" s="95"/>
      <c r="Y243" s="100"/>
      <c r="AB243" s="2"/>
      <c r="AC243" s="7"/>
      <c r="AE243" s="120"/>
      <c r="AF243" s="122"/>
    </row>
    <row r="244" spans="12:32" x14ac:dyDescent="0.25">
      <c r="L244" s="95"/>
      <c r="M244" s="95"/>
      <c r="Y244" s="100"/>
      <c r="AB244" s="2"/>
      <c r="AC244" s="7"/>
      <c r="AE244" s="120"/>
      <c r="AF244" s="122"/>
    </row>
    <row r="245" spans="12:32" x14ac:dyDescent="0.25">
      <c r="L245" s="95"/>
      <c r="M245" s="95"/>
      <c r="Y245" s="100"/>
      <c r="AB245" s="2"/>
      <c r="AC245" s="7"/>
      <c r="AE245" s="120"/>
      <c r="AF245" s="122"/>
    </row>
    <row r="246" spans="12:32" x14ac:dyDescent="0.25">
      <c r="L246" s="95"/>
      <c r="M246" s="95"/>
      <c r="Y246" s="100"/>
      <c r="AB246" s="2"/>
      <c r="AC246" s="7"/>
      <c r="AE246" s="120"/>
      <c r="AF246" s="122"/>
    </row>
    <row r="247" spans="12:32" x14ac:dyDescent="0.25">
      <c r="L247" s="95"/>
      <c r="M247" s="95"/>
      <c r="Y247" s="100"/>
      <c r="AB247" s="2"/>
      <c r="AC247" s="7"/>
      <c r="AE247" s="120"/>
      <c r="AF247" s="122"/>
    </row>
    <row r="248" spans="12:32" x14ac:dyDescent="0.25">
      <c r="L248" s="95"/>
      <c r="M248" s="95"/>
      <c r="Y248" s="100"/>
      <c r="AB248" s="2"/>
      <c r="AC248" s="7"/>
      <c r="AE248" s="120"/>
      <c r="AF248" s="122"/>
    </row>
    <row r="249" spans="12:32" x14ac:dyDescent="0.25">
      <c r="L249" s="95"/>
      <c r="M249" s="95"/>
      <c r="Y249" s="100"/>
      <c r="AB249" s="2"/>
      <c r="AC249" s="7"/>
      <c r="AE249" s="120"/>
      <c r="AF249" s="122"/>
    </row>
    <row r="250" spans="12:32" x14ac:dyDescent="0.25">
      <c r="L250" s="95"/>
      <c r="M250" s="95"/>
      <c r="Y250" s="100"/>
      <c r="AB250" s="2"/>
      <c r="AC250" s="7"/>
      <c r="AE250" s="120"/>
      <c r="AF250" s="122"/>
    </row>
    <row r="251" spans="12:32" x14ac:dyDescent="0.25">
      <c r="L251" s="95"/>
      <c r="M251" s="95"/>
      <c r="Y251" s="100"/>
      <c r="AB251" s="2"/>
      <c r="AC251" s="7"/>
      <c r="AE251" s="120"/>
      <c r="AF251" s="122"/>
    </row>
    <row r="252" spans="12:32" x14ac:dyDescent="0.25">
      <c r="L252" s="95"/>
      <c r="M252" s="95"/>
      <c r="Y252" s="100"/>
      <c r="AB252" s="2"/>
      <c r="AC252" s="7"/>
      <c r="AE252" s="120"/>
      <c r="AF252" s="122"/>
    </row>
    <row r="253" spans="12:32" x14ac:dyDescent="0.25">
      <c r="L253" s="95"/>
      <c r="M253" s="95"/>
      <c r="Y253" s="100"/>
      <c r="AB253" s="2"/>
      <c r="AC253" s="7"/>
      <c r="AE253" s="120"/>
      <c r="AF253" s="122"/>
    </row>
    <row r="254" spans="12:32" x14ac:dyDescent="0.25">
      <c r="L254" s="95"/>
      <c r="M254" s="95"/>
      <c r="Y254" s="100"/>
      <c r="AB254" s="2"/>
      <c r="AC254" s="7"/>
      <c r="AE254" s="120"/>
      <c r="AF254" s="122"/>
    </row>
    <row r="255" spans="12:32" x14ac:dyDescent="0.25">
      <c r="L255" s="95"/>
      <c r="M255" s="95"/>
      <c r="Y255" s="100"/>
      <c r="AB255" s="2"/>
      <c r="AC255" s="7"/>
      <c r="AE255" s="120"/>
      <c r="AF255" s="122"/>
    </row>
    <row r="256" spans="12:32" x14ac:dyDescent="0.25">
      <c r="L256" s="95"/>
      <c r="M256" s="95"/>
      <c r="Y256" s="100"/>
      <c r="AB256" s="2"/>
      <c r="AC256" s="7"/>
      <c r="AE256" s="120"/>
      <c r="AF256" s="122"/>
    </row>
    <row r="257" spans="12:32" x14ac:dyDescent="0.25">
      <c r="L257" s="95"/>
      <c r="M257" s="95"/>
      <c r="Y257" s="100"/>
      <c r="AB257" s="2"/>
      <c r="AC257" s="7"/>
      <c r="AE257" s="120"/>
      <c r="AF257" s="122"/>
    </row>
    <row r="258" spans="12:32" x14ac:dyDescent="0.25">
      <c r="L258" s="95"/>
      <c r="M258" s="95"/>
      <c r="Y258" s="100"/>
      <c r="AB258" s="2"/>
      <c r="AC258" s="7"/>
      <c r="AE258" s="120"/>
      <c r="AF258" s="122"/>
    </row>
    <row r="259" spans="12:32" x14ac:dyDescent="0.25">
      <c r="L259" s="95"/>
      <c r="M259" s="95"/>
      <c r="Y259" s="100"/>
      <c r="AB259" s="2"/>
      <c r="AC259" s="7"/>
      <c r="AE259" s="120"/>
      <c r="AF259" s="122"/>
    </row>
    <row r="260" spans="12:32" x14ac:dyDescent="0.25">
      <c r="L260" s="95"/>
      <c r="M260" s="95"/>
      <c r="Y260" s="100"/>
      <c r="AB260" s="2"/>
      <c r="AC260" s="7"/>
      <c r="AE260" s="120"/>
      <c r="AF260" s="122"/>
    </row>
    <row r="261" spans="12:32" x14ac:dyDescent="0.25">
      <c r="L261" s="95"/>
      <c r="M261" s="95"/>
      <c r="Y261" s="100"/>
      <c r="AB261" s="2"/>
      <c r="AC261" s="7"/>
      <c r="AE261" s="120"/>
      <c r="AF261" s="122"/>
    </row>
    <row r="262" spans="12:32" x14ac:dyDescent="0.25">
      <c r="L262" s="95"/>
      <c r="M262" s="95"/>
      <c r="Y262" s="100"/>
      <c r="AB262" s="2"/>
      <c r="AC262" s="7"/>
      <c r="AE262" s="120"/>
      <c r="AF262" s="122"/>
    </row>
    <row r="263" spans="12:32" x14ac:dyDescent="0.25">
      <c r="L263" s="95"/>
      <c r="M263" s="95"/>
      <c r="Y263" s="100"/>
      <c r="AB263" s="2"/>
      <c r="AC263" s="7"/>
      <c r="AE263" s="120"/>
      <c r="AF263" s="122"/>
    </row>
    <row r="264" spans="12:32" x14ac:dyDescent="0.25">
      <c r="L264" s="95"/>
      <c r="M264" s="95"/>
      <c r="Y264" s="100"/>
      <c r="AB264" s="2"/>
      <c r="AC264" s="7"/>
      <c r="AE264" s="120"/>
      <c r="AF264" s="122"/>
    </row>
    <row r="265" spans="12:32" x14ac:dyDescent="0.25">
      <c r="L265" s="95"/>
      <c r="M265" s="95"/>
      <c r="Y265" s="100"/>
      <c r="AB265" s="2"/>
      <c r="AC265" s="7"/>
      <c r="AE265" s="120"/>
      <c r="AF265" s="122"/>
    </row>
    <row r="266" spans="12:32" x14ac:dyDescent="0.25">
      <c r="L266" s="95"/>
      <c r="M266" s="95"/>
      <c r="Y266" s="100"/>
      <c r="AB266" s="2"/>
      <c r="AC266" s="7"/>
      <c r="AE266" s="120"/>
      <c r="AF266" s="122"/>
    </row>
    <row r="267" spans="12:32" x14ac:dyDescent="0.25">
      <c r="L267" s="95"/>
      <c r="M267" s="95"/>
      <c r="Y267" s="100"/>
      <c r="AB267" s="2"/>
      <c r="AC267" s="7"/>
      <c r="AE267" s="120"/>
      <c r="AF267" s="122"/>
    </row>
    <row r="268" spans="12:32" x14ac:dyDescent="0.25">
      <c r="L268" s="95"/>
      <c r="M268" s="95"/>
      <c r="Y268" s="100"/>
      <c r="AB268" s="2"/>
      <c r="AC268" s="7"/>
      <c r="AE268" s="120"/>
      <c r="AF268" s="122"/>
    </row>
    <row r="269" spans="12:32" x14ac:dyDescent="0.25">
      <c r="L269" s="95"/>
      <c r="M269" s="95"/>
      <c r="Y269" s="100"/>
      <c r="AB269" s="2"/>
      <c r="AC269" s="7"/>
      <c r="AE269" s="120"/>
      <c r="AF269" s="122"/>
    </row>
    <row r="270" spans="12:32" x14ac:dyDescent="0.25">
      <c r="L270" s="95"/>
      <c r="M270" s="95"/>
      <c r="Y270" s="100"/>
      <c r="AB270" s="2"/>
      <c r="AC270" s="7"/>
      <c r="AE270" s="120"/>
      <c r="AF270" s="122"/>
    </row>
    <row r="271" spans="12:32" x14ac:dyDescent="0.25">
      <c r="L271" s="95"/>
      <c r="M271" s="95"/>
      <c r="Y271" s="100"/>
      <c r="AB271" s="2"/>
      <c r="AC271" s="7"/>
      <c r="AE271" s="120"/>
      <c r="AF271" s="122"/>
    </row>
    <row r="272" spans="12:32" x14ac:dyDescent="0.25">
      <c r="L272" s="95"/>
      <c r="M272" s="95"/>
      <c r="Y272" s="100"/>
      <c r="AB272" s="2"/>
      <c r="AC272" s="7"/>
      <c r="AE272" s="120"/>
      <c r="AF272" s="122"/>
    </row>
    <row r="273" spans="12:32" x14ac:dyDescent="0.25">
      <c r="L273" s="95"/>
      <c r="M273" s="95"/>
      <c r="Y273" s="100"/>
      <c r="AB273" s="2"/>
      <c r="AC273" s="7"/>
      <c r="AE273" s="120"/>
      <c r="AF273" s="122"/>
    </row>
    <row r="274" spans="12:32" x14ac:dyDescent="0.25">
      <c r="L274" s="95"/>
      <c r="M274" s="95"/>
      <c r="Y274" s="100"/>
      <c r="AB274" s="2"/>
      <c r="AC274" s="7"/>
      <c r="AE274" s="120"/>
      <c r="AF274" s="122"/>
    </row>
    <row r="275" spans="12:32" x14ac:dyDescent="0.25">
      <c r="L275" s="95"/>
      <c r="M275" s="95"/>
      <c r="Y275" s="100"/>
      <c r="AB275" s="2"/>
      <c r="AC275" s="7"/>
      <c r="AE275" s="120"/>
      <c r="AF275" s="122"/>
    </row>
    <row r="276" spans="12:32" x14ac:dyDescent="0.25">
      <c r="AE276" s="120"/>
      <c r="AF276" s="122"/>
    </row>
    <row r="277" spans="12:32" x14ac:dyDescent="0.25">
      <c r="AE277" s="120"/>
      <c r="AF277" s="122"/>
    </row>
    <row r="278" spans="12:32" x14ac:dyDescent="0.25">
      <c r="AE278" s="120"/>
      <c r="AF278" s="122"/>
    </row>
    <row r="279" spans="12:32" x14ac:dyDescent="0.25">
      <c r="AE279" s="120"/>
      <c r="AF279" s="122"/>
    </row>
    <row r="280" spans="12:32" x14ac:dyDescent="0.25">
      <c r="AE280" s="120"/>
      <c r="AF280" s="122"/>
    </row>
    <row r="281" spans="12:32" x14ac:dyDescent="0.25">
      <c r="AE281" s="120"/>
      <c r="AF281" s="122"/>
    </row>
    <row r="282" spans="12:32" x14ac:dyDescent="0.25">
      <c r="AE282" s="120"/>
      <c r="AF282" s="122"/>
    </row>
    <row r="283" spans="12:32" x14ac:dyDescent="0.25">
      <c r="AE283" s="120"/>
      <c r="AF283" s="122"/>
    </row>
    <row r="284" spans="12:32" x14ac:dyDescent="0.25">
      <c r="AE284" s="120"/>
      <c r="AF284" s="122"/>
    </row>
    <row r="285" spans="12:32" x14ac:dyDescent="0.25">
      <c r="AE285" s="120"/>
      <c r="AF285" s="122"/>
    </row>
    <row r="286" spans="12:32" x14ac:dyDescent="0.25">
      <c r="AE286" s="120"/>
      <c r="AF286" s="122"/>
    </row>
    <row r="287" spans="12:32" x14ac:dyDescent="0.25">
      <c r="AE287" s="120"/>
      <c r="AF287" s="122"/>
    </row>
    <row r="288" spans="12:32" x14ac:dyDescent="0.25">
      <c r="AE288" s="120"/>
      <c r="AF288" s="122"/>
    </row>
    <row r="289" spans="31:32" x14ac:dyDescent="0.25">
      <c r="AE289" s="120"/>
      <c r="AF289" s="122"/>
    </row>
    <row r="290" spans="31:32" x14ac:dyDescent="0.25">
      <c r="AE290" s="120"/>
      <c r="AF290" s="122"/>
    </row>
    <row r="291" spans="31:32" x14ac:dyDescent="0.25">
      <c r="AE291" s="120"/>
      <c r="AF291" s="122"/>
    </row>
    <row r="292" spans="31:32" x14ac:dyDescent="0.25">
      <c r="AE292" s="120"/>
      <c r="AF292" s="122"/>
    </row>
    <row r="293" spans="31:32" x14ac:dyDescent="0.25">
      <c r="AE293" s="120"/>
      <c r="AF293" s="122"/>
    </row>
    <row r="294" spans="31:32" x14ac:dyDescent="0.25">
      <c r="AE294" s="120"/>
      <c r="AF294" s="122"/>
    </row>
    <row r="295" spans="31:32" x14ac:dyDescent="0.25">
      <c r="AE295" s="120"/>
      <c r="AF295" s="122"/>
    </row>
    <row r="296" spans="31:32" x14ac:dyDescent="0.25">
      <c r="AE296" s="120"/>
      <c r="AF296" s="122"/>
    </row>
    <row r="297" spans="31:32" x14ac:dyDescent="0.25">
      <c r="AE297" s="120"/>
      <c r="AF297" s="122"/>
    </row>
    <row r="298" spans="31:32" x14ac:dyDescent="0.25">
      <c r="AE298" s="120"/>
      <c r="AF298" s="122"/>
    </row>
    <row r="299" spans="31:32" x14ac:dyDescent="0.25">
      <c r="AE299" s="120"/>
      <c r="AF299" s="122"/>
    </row>
    <row r="300" spans="31:32" x14ac:dyDescent="0.25">
      <c r="AE300" s="120"/>
      <c r="AF300" s="122"/>
    </row>
    <row r="301" spans="31:32" x14ac:dyDescent="0.25">
      <c r="AE301" s="120"/>
      <c r="AF301" s="122"/>
    </row>
    <row r="302" spans="31:32" x14ac:dyDescent="0.25">
      <c r="AE302" s="120"/>
      <c r="AF302" s="122"/>
    </row>
    <row r="303" spans="31:32" x14ac:dyDescent="0.25">
      <c r="AE303" s="120"/>
      <c r="AF303" s="122"/>
    </row>
    <row r="304" spans="31:32" x14ac:dyDescent="0.25">
      <c r="AE304" s="120"/>
      <c r="AF304" s="122"/>
    </row>
    <row r="305" spans="31:32" x14ac:dyDescent="0.25">
      <c r="AE305" s="120"/>
      <c r="AF305" s="122"/>
    </row>
    <row r="306" spans="31:32" x14ac:dyDescent="0.25">
      <c r="AE306" s="120"/>
      <c r="AF306" s="122"/>
    </row>
    <row r="307" spans="31:32" x14ac:dyDescent="0.25">
      <c r="AE307" s="120"/>
      <c r="AF307" s="122"/>
    </row>
    <row r="308" spans="31:32" x14ac:dyDescent="0.25">
      <c r="AE308" s="120"/>
      <c r="AF308" s="122"/>
    </row>
    <row r="309" spans="31:32" x14ac:dyDescent="0.25">
      <c r="AE309" s="120"/>
      <c r="AF309" s="122"/>
    </row>
    <row r="310" spans="31:32" x14ac:dyDescent="0.25">
      <c r="AE310" s="120"/>
      <c r="AF310" s="122"/>
    </row>
    <row r="311" spans="31:32" x14ac:dyDescent="0.25">
      <c r="AE311" s="120"/>
      <c r="AF311" s="122"/>
    </row>
    <row r="312" spans="31:32" x14ac:dyDescent="0.25">
      <c r="AE312" s="120"/>
      <c r="AF312" s="122"/>
    </row>
    <row r="313" spans="31:32" x14ac:dyDescent="0.25">
      <c r="AE313" s="120"/>
      <c r="AF313" s="122"/>
    </row>
    <row r="314" spans="31:32" x14ac:dyDescent="0.25">
      <c r="AE314" s="120"/>
      <c r="AF314" s="122"/>
    </row>
    <row r="315" spans="31:32" x14ac:dyDescent="0.25">
      <c r="AE315" s="120"/>
      <c r="AF315" s="122"/>
    </row>
    <row r="316" spans="31:32" x14ac:dyDescent="0.25">
      <c r="AE316" s="120"/>
      <c r="AF316" s="122"/>
    </row>
    <row r="317" spans="31:32" x14ac:dyDescent="0.25">
      <c r="AE317" s="120"/>
      <c r="AF317" s="122"/>
    </row>
    <row r="318" spans="31:32" x14ac:dyDescent="0.25">
      <c r="AE318" s="120"/>
      <c r="AF318" s="122"/>
    </row>
    <row r="319" spans="31:32" x14ac:dyDescent="0.25">
      <c r="AE319" s="120"/>
      <c r="AF319" s="122"/>
    </row>
    <row r="320" spans="31:32" x14ac:dyDescent="0.25">
      <c r="AE320" s="120"/>
      <c r="AF320" s="122"/>
    </row>
    <row r="321" spans="31:32" x14ac:dyDescent="0.25">
      <c r="AE321" s="120"/>
      <c r="AF321" s="122"/>
    </row>
    <row r="322" spans="31:32" x14ac:dyDescent="0.25">
      <c r="AE322" s="120"/>
      <c r="AF322" s="122"/>
    </row>
    <row r="323" spans="31:32" x14ac:dyDescent="0.25">
      <c r="AE323" s="120"/>
      <c r="AF323" s="122"/>
    </row>
    <row r="324" spans="31:32" x14ac:dyDescent="0.25">
      <c r="AE324" s="120"/>
      <c r="AF324" s="122"/>
    </row>
    <row r="325" spans="31:32" x14ac:dyDescent="0.25">
      <c r="AE325" s="120"/>
      <c r="AF325" s="122"/>
    </row>
    <row r="326" spans="31:32" x14ac:dyDescent="0.25">
      <c r="AE326" s="120"/>
      <c r="AF326" s="122"/>
    </row>
    <row r="327" spans="31:32" x14ac:dyDescent="0.25">
      <c r="AE327" s="120"/>
      <c r="AF327" s="122"/>
    </row>
    <row r="328" spans="31:32" x14ac:dyDescent="0.25">
      <c r="AE328" s="120"/>
      <c r="AF328" s="122"/>
    </row>
    <row r="329" spans="31:32" x14ac:dyDescent="0.25">
      <c r="AE329" s="120"/>
      <c r="AF329" s="122"/>
    </row>
    <row r="330" spans="31:32" x14ac:dyDescent="0.25">
      <c r="AE330" s="120"/>
      <c r="AF330" s="122"/>
    </row>
  </sheetData>
  <mergeCells count="4">
    <mergeCell ref="M2:O2"/>
    <mergeCell ref="W2:X2"/>
    <mergeCell ref="W1:Y1"/>
    <mergeCell ref="K1:O1"/>
  </mergeCells>
  <phoneticPr fontId="1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4" r:id="rId4" name="CommandButton3">
          <controlPr defaultSize="0" autoLine="0" r:id="rId5">
            <anchor moveWithCells="1">
              <from>
                <xdr:col>4</xdr:col>
                <xdr:colOff>847725</xdr:colOff>
                <xdr:row>0</xdr:row>
                <xdr:rowOff>28575</xdr:rowOff>
              </from>
              <to>
                <xdr:col>8</xdr:col>
                <xdr:colOff>247650</xdr:colOff>
                <xdr:row>0</xdr:row>
                <xdr:rowOff>295275</xdr:rowOff>
              </to>
            </anchor>
          </controlPr>
        </control>
      </mc:Choice>
      <mc:Fallback>
        <control shapeId="2054" r:id="rId4" name="CommandButton3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342900</xdr:colOff>
                <xdr:row>0</xdr:row>
                <xdr:rowOff>295275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</xdr:col>
                <xdr:colOff>390525</xdr:colOff>
                <xdr:row>0</xdr:row>
                <xdr:rowOff>28575</xdr:rowOff>
              </from>
              <to>
                <xdr:col>4</xdr:col>
                <xdr:colOff>800100</xdr:colOff>
                <xdr:row>0</xdr:row>
                <xdr:rowOff>295275</xdr:rowOff>
              </to>
            </anchor>
          </controlPr>
        </control>
      </mc:Choice>
      <mc:Fallback>
        <control shapeId="2052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7704EEC-AA63-45C5-9F0D-2F1F8E41ACE6}">
          <x14:formula1>
            <xm:f>Info!$AM$3:$AM$4</xm:f>
          </x14:formula1>
          <xm:sqref>AE323:AE330 AF118:AF330 AF4:AF114</xm:sqref>
        </x14:dataValidation>
        <x14:dataValidation type="list" allowBlank="1" showInputMessage="1" showErrorMessage="1" xr:uid="{14D54D92-F908-4FF1-9362-72644BB5EAD1}">
          <x14:formula1>
            <xm:f>Info!$AB$3:$AB$5</xm:f>
          </x14:formula1>
          <xm:sqref>AC118:AC275 AC4:AC114</xm:sqref>
        </x14:dataValidation>
        <x14:dataValidation type="list" allowBlank="1" showInputMessage="1" showErrorMessage="1" xr:uid="{6E779E88-9063-48B7-8517-52DA5F2189AC}">
          <x14:formula1>
            <xm:f>Info!$N$4:$N$10</xm:f>
          </x14:formula1>
          <xm:sqref>L118:L275 L4:L114</xm:sqref>
        </x14:dataValidation>
        <x14:dataValidation type="list" allowBlank="1" showInputMessage="1" showErrorMessage="1" xr:uid="{2C375F19-EDB6-41C2-8CD1-5F247AA3666E}">
          <x14:formula1>
            <xm:f>Info!$R$4:$R$8</xm:f>
          </x14:formula1>
          <xm:sqref>M118:M275 M4:M114</xm:sqref>
        </x14:dataValidation>
        <x14:dataValidation type="list" allowBlank="1" showInputMessage="1" showErrorMessage="1" xr:uid="{350CA663-42A7-4764-97E5-DF792E1A8939}">
          <x14:formula1>
            <xm:f>Info!$Y$3:$Y$6</xm:f>
          </x14:formula1>
          <xm:sqref>AB118:AB275 AB4:AB114</xm:sqref>
        </x14:dataValidation>
        <x14:dataValidation type="list" allowBlank="1" showInputMessage="1" showErrorMessage="1" xr:uid="{A3A373DF-5E01-4FD2-83CB-B41D1157F8F5}">
          <x14:formula1>
            <xm:f>Info!$V$3:$V$4</xm:f>
          </x14:formula1>
          <xm:sqref>Y118:Y275 Y4:Y114</xm:sqref>
        </x14:dataValidation>
        <x14:dataValidation type="list" allowBlank="1" showInputMessage="1" showErrorMessage="1" xr:uid="{1B6D4CCC-65FE-4461-912D-D3EF5A1F5775}">
          <x14:formula1>
            <xm:f>Info!$B$4:$B$14</xm:f>
          </x14:formula1>
          <xm:sqref>K118:K275 K4:K114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A708-03EE-4489-BCC5-606ACCE98625}">
  <sheetPr codeName="Feuil5"/>
  <dimension ref="A1:AJ88"/>
  <sheetViews>
    <sheetView zoomScale="70" zoomScaleNormal="70" workbookViewId="0">
      <selection activeCell="M40" sqref="M40:M41"/>
    </sheetView>
  </sheetViews>
  <sheetFormatPr baseColWidth="10" defaultRowHeight="15" x14ac:dyDescent="0.25"/>
  <cols>
    <col min="1" max="1" width="18.7109375" customWidth="1"/>
  </cols>
  <sheetData>
    <row r="1" spans="1:36" ht="26.25" customHeight="1" thickBot="1" x14ac:dyDescent="0.3">
      <c r="A1" s="31"/>
      <c r="B1" s="29"/>
      <c r="C1" s="30"/>
      <c r="D1" s="2"/>
      <c r="E1" s="20"/>
      <c r="F1" s="20"/>
      <c r="G1" s="20"/>
      <c r="H1" s="20"/>
      <c r="I1" s="20"/>
      <c r="J1" s="20"/>
      <c r="K1" s="188" t="s">
        <v>67</v>
      </c>
      <c r="L1" s="188"/>
      <c r="M1" s="188"/>
      <c r="N1" s="188"/>
      <c r="O1" s="188"/>
      <c r="P1" s="64"/>
      <c r="Q1" s="64"/>
      <c r="R1" s="155"/>
      <c r="S1" s="68" t="s">
        <v>65</v>
      </c>
      <c r="T1" s="64"/>
      <c r="U1" s="107"/>
      <c r="V1" s="155"/>
      <c r="W1" s="189" t="s">
        <v>109</v>
      </c>
      <c r="X1" s="190"/>
      <c r="Y1" s="191"/>
      <c r="Z1" s="65"/>
      <c r="AA1" s="66"/>
      <c r="AB1" s="68" t="s">
        <v>65</v>
      </c>
      <c r="AC1" s="67"/>
      <c r="AD1" s="70"/>
      <c r="AE1" s="119"/>
      <c r="AF1" s="71"/>
      <c r="AG1" s="72" t="s">
        <v>66</v>
      </c>
      <c r="AH1" s="71"/>
      <c r="AI1" s="71"/>
      <c r="AJ1" s="32"/>
    </row>
    <row r="2" spans="1:36" s="1" customFormat="1" ht="48" customHeight="1" x14ac:dyDescent="0.25">
      <c r="A2" s="60" t="s">
        <v>9</v>
      </c>
      <c r="B2" s="61" t="s">
        <v>0</v>
      </c>
      <c r="C2" s="62" t="s">
        <v>1</v>
      </c>
      <c r="D2" s="63" t="s">
        <v>2</v>
      </c>
      <c r="E2" s="150" t="s">
        <v>38</v>
      </c>
      <c r="F2" s="151" t="s">
        <v>11</v>
      </c>
      <c r="G2" s="152" t="s">
        <v>39</v>
      </c>
      <c r="H2" s="152" t="s">
        <v>44</v>
      </c>
      <c r="I2" s="153" t="s">
        <v>155</v>
      </c>
      <c r="J2" s="154" t="s">
        <v>44</v>
      </c>
      <c r="K2" s="26" t="s">
        <v>34</v>
      </c>
      <c r="L2" s="19" t="s">
        <v>35</v>
      </c>
      <c r="M2" s="180" t="s">
        <v>30</v>
      </c>
      <c r="N2" s="181"/>
      <c r="O2" s="182"/>
      <c r="P2" s="57" t="s">
        <v>37</v>
      </c>
      <c r="Q2" s="58" t="s">
        <v>11</v>
      </c>
      <c r="R2" s="156" t="s">
        <v>46</v>
      </c>
      <c r="S2" s="52" t="s">
        <v>3</v>
      </c>
      <c r="T2" s="52" t="s">
        <v>76</v>
      </c>
      <c r="U2" s="108" t="s">
        <v>10</v>
      </c>
      <c r="V2" s="172" t="s">
        <v>4</v>
      </c>
      <c r="W2" s="183" t="s">
        <v>45</v>
      </c>
      <c r="X2" s="184"/>
      <c r="Y2" s="173" t="s">
        <v>62</v>
      </c>
      <c r="Z2" s="56" t="s">
        <v>5</v>
      </c>
      <c r="AA2" s="53" t="s">
        <v>6</v>
      </c>
      <c r="AB2" s="54" t="s">
        <v>43</v>
      </c>
      <c r="AC2" s="55" t="s">
        <v>20</v>
      </c>
      <c r="AD2" s="174" t="s">
        <v>7</v>
      </c>
      <c r="AE2" s="175" t="s">
        <v>136</v>
      </c>
      <c r="AF2" s="176" t="s">
        <v>125</v>
      </c>
      <c r="AG2" s="177" t="s">
        <v>50</v>
      </c>
      <c r="AH2" s="178" t="s">
        <v>51</v>
      </c>
      <c r="AI2" s="179" t="s">
        <v>52</v>
      </c>
      <c r="AJ2" s="33"/>
    </row>
    <row r="3" spans="1:36" s="3" customFormat="1" ht="13.5" thickBot="1" x14ac:dyDescent="0.3">
      <c r="A3" s="8" t="s">
        <v>99</v>
      </c>
      <c r="B3" s="8" t="s">
        <v>100</v>
      </c>
      <c r="C3" s="9" t="s">
        <v>100</v>
      </c>
      <c r="D3" s="10" t="s">
        <v>101</v>
      </c>
      <c r="E3" s="9" t="s">
        <v>102</v>
      </c>
      <c r="F3" s="9" t="s">
        <v>102</v>
      </c>
      <c r="G3" s="9" t="s">
        <v>103</v>
      </c>
      <c r="H3" s="9" t="s">
        <v>103</v>
      </c>
      <c r="I3" s="9" t="s">
        <v>103</v>
      </c>
      <c r="J3" s="9" t="s">
        <v>103</v>
      </c>
      <c r="K3" s="27" t="s">
        <v>32</v>
      </c>
      <c r="L3" s="9" t="s">
        <v>32</v>
      </c>
      <c r="M3" s="13" t="s">
        <v>32</v>
      </c>
      <c r="N3" s="9" t="s">
        <v>31</v>
      </c>
      <c r="O3" s="160" t="s">
        <v>33</v>
      </c>
      <c r="P3" s="21" t="s">
        <v>102</v>
      </c>
      <c r="Q3" s="23" t="s">
        <v>102</v>
      </c>
      <c r="R3" s="157" t="s">
        <v>104</v>
      </c>
      <c r="S3" s="23" t="s">
        <v>104</v>
      </c>
      <c r="T3" s="23" t="s">
        <v>104</v>
      </c>
      <c r="U3" s="109" t="s">
        <v>105</v>
      </c>
      <c r="V3" s="157" t="s">
        <v>106</v>
      </c>
      <c r="W3" s="21" t="s">
        <v>63</v>
      </c>
      <c r="X3" s="23" t="s">
        <v>64</v>
      </c>
      <c r="Y3" s="69" t="s">
        <v>32</v>
      </c>
      <c r="Z3" s="23" t="s">
        <v>106</v>
      </c>
      <c r="AA3" s="9" t="s">
        <v>106</v>
      </c>
      <c r="AB3" s="9"/>
      <c r="AC3" s="10"/>
      <c r="AD3" s="9" t="s">
        <v>25</v>
      </c>
      <c r="AE3" s="8" t="s">
        <v>135</v>
      </c>
      <c r="AF3" s="10"/>
      <c r="AG3" s="9" t="s">
        <v>106</v>
      </c>
      <c r="AH3" s="9" t="s">
        <v>107</v>
      </c>
      <c r="AI3" s="9" t="s">
        <v>108</v>
      </c>
      <c r="AJ3" s="34"/>
    </row>
    <row r="4" spans="1:36" x14ac:dyDescent="0.25">
      <c r="A4" s="128" t="s">
        <v>195</v>
      </c>
      <c r="B4" s="25">
        <v>-54.26</v>
      </c>
      <c r="C4" s="28">
        <v>3.91</v>
      </c>
      <c r="D4" s="7">
        <v>79</v>
      </c>
      <c r="I4">
        <v>20</v>
      </c>
      <c r="J4">
        <v>10</v>
      </c>
      <c r="K4" s="80" t="s">
        <v>15</v>
      </c>
      <c r="L4" s="95" t="s">
        <v>85</v>
      </c>
      <c r="M4" s="95" t="s">
        <v>89</v>
      </c>
      <c r="N4">
        <v>2</v>
      </c>
      <c r="O4" s="148">
        <v>0</v>
      </c>
      <c r="P4" s="24">
        <v>790.8</v>
      </c>
      <c r="Q4" s="24">
        <v>79</v>
      </c>
      <c r="R4" s="159">
        <v>392.5</v>
      </c>
      <c r="S4" s="24">
        <v>76.7</v>
      </c>
      <c r="T4" s="24"/>
      <c r="U4" s="125">
        <v>39275636</v>
      </c>
      <c r="V4" s="126">
        <v>49</v>
      </c>
      <c r="W4" s="127"/>
      <c r="X4" s="24"/>
      <c r="Y4" s="100"/>
      <c r="Z4" s="24"/>
      <c r="AA4" s="2"/>
      <c r="AB4" s="2" t="s">
        <v>17</v>
      </c>
      <c r="AC4" s="7" t="s">
        <v>116</v>
      </c>
      <c r="AD4" s="59"/>
      <c r="AE4" s="120"/>
      <c r="AF4" s="122"/>
      <c r="AJ4" s="4"/>
    </row>
    <row r="5" spans="1:36" x14ac:dyDescent="0.25">
      <c r="A5" s="128" t="s">
        <v>195</v>
      </c>
      <c r="B5" s="25"/>
      <c r="C5" s="28"/>
      <c r="D5" s="7"/>
      <c r="K5" s="80" t="s">
        <v>15</v>
      </c>
      <c r="L5" s="95" t="s">
        <v>85</v>
      </c>
      <c r="M5" s="95" t="s">
        <v>89</v>
      </c>
      <c r="N5">
        <v>2</v>
      </c>
      <c r="O5" s="148">
        <v>0</v>
      </c>
      <c r="P5" s="24">
        <v>802</v>
      </c>
      <c r="Q5" s="24">
        <v>80</v>
      </c>
      <c r="R5" s="159">
        <v>334.8</v>
      </c>
      <c r="S5" s="24">
        <v>49.7</v>
      </c>
      <c r="T5" s="24"/>
      <c r="U5" s="125">
        <v>33625048</v>
      </c>
      <c r="V5" s="126">
        <v>48.7</v>
      </c>
      <c r="W5" s="127"/>
      <c r="X5" s="24"/>
      <c r="Y5" s="100"/>
      <c r="Z5" s="24"/>
      <c r="AA5" s="2"/>
      <c r="AB5" s="2" t="s">
        <v>17</v>
      </c>
      <c r="AC5" s="7" t="s">
        <v>116</v>
      </c>
      <c r="AD5" s="59"/>
      <c r="AE5" s="120"/>
      <c r="AF5" s="122"/>
      <c r="AJ5" s="4"/>
    </row>
    <row r="6" spans="1:36" x14ac:dyDescent="0.25">
      <c r="A6" s="128" t="s">
        <v>195</v>
      </c>
      <c r="B6" s="25"/>
      <c r="C6" s="28"/>
      <c r="D6" s="7"/>
      <c r="K6" s="80" t="s">
        <v>15</v>
      </c>
      <c r="L6" s="95" t="s">
        <v>85</v>
      </c>
      <c r="M6" s="95" t="s">
        <v>89</v>
      </c>
      <c r="N6">
        <v>2</v>
      </c>
      <c r="O6" s="148">
        <v>0</v>
      </c>
      <c r="P6" s="24">
        <v>659.4</v>
      </c>
      <c r="Q6" s="24">
        <v>66</v>
      </c>
      <c r="R6" s="159">
        <v>397.2</v>
      </c>
      <c r="S6" s="24">
        <v>72.7</v>
      </c>
      <c r="T6" s="24"/>
      <c r="U6" s="125">
        <v>33049736</v>
      </c>
      <c r="V6" s="126">
        <v>55.4</v>
      </c>
      <c r="W6" s="127"/>
      <c r="X6" s="24"/>
      <c r="Y6" s="100"/>
      <c r="Z6" s="24"/>
      <c r="AA6" s="2"/>
      <c r="AB6" s="2" t="s">
        <v>17</v>
      </c>
      <c r="AC6" s="7" t="s">
        <v>116</v>
      </c>
      <c r="AD6" s="59"/>
      <c r="AE6" s="120"/>
      <c r="AF6" s="122"/>
      <c r="AJ6" s="4"/>
    </row>
    <row r="7" spans="1:36" x14ac:dyDescent="0.25">
      <c r="A7" s="128" t="s">
        <v>195</v>
      </c>
      <c r="B7" s="25"/>
      <c r="C7" s="28"/>
      <c r="D7" s="7"/>
      <c r="K7" s="80" t="s">
        <v>15</v>
      </c>
      <c r="L7" s="95" t="s">
        <v>85</v>
      </c>
      <c r="M7" s="95" t="s">
        <v>89</v>
      </c>
      <c r="N7">
        <v>2</v>
      </c>
      <c r="O7" s="148">
        <v>0</v>
      </c>
      <c r="P7" s="24">
        <v>794.7</v>
      </c>
      <c r="Q7" s="24">
        <v>79</v>
      </c>
      <c r="R7" s="159">
        <v>542.20000000000005</v>
      </c>
      <c r="S7" s="24">
        <v>101.3</v>
      </c>
      <c r="T7" s="24"/>
      <c r="U7" s="125">
        <v>54416180</v>
      </c>
      <c r="V7" s="126">
        <v>54.4</v>
      </c>
      <c r="W7" s="127"/>
      <c r="X7" s="24"/>
      <c r="Y7" s="100"/>
      <c r="Z7" s="24"/>
      <c r="AA7" s="2"/>
      <c r="AB7" s="2" t="s">
        <v>17</v>
      </c>
      <c r="AC7" s="7" t="s">
        <v>116</v>
      </c>
      <c r="AD7" s="59"/>
      <c r="AE7" s="120"/>
      <c r="AF7" s="122"/>
      <c r="AJ7" s="4"/>
    </row>
    <row r="8" spans="1:36" x14ac:dyDescent="0.25">
      <c r="A8" s="128" t="s">
        <v>195</v>
      </c>
      <c r="B8" s="25"/>
      <c r="C8" s="28"/>
      <c r="D8" s="7"/>
      <c r="K8" s="80" t="s">
        <v>15</v>
      </c>
      <c r="L8" s="95" t="s">
        <v>85</v>
      </c>
      <c r="M8" s="95" t="s">
        <v>89</v>
      </c>
      <c r="N8">
        <v>2</v>
      </c>
      <c r="O8" s="148">
        <v>0</v>
      </c>
      <c r="P8" s="24">
        <v>678.8</v>
      </c>
      <c r="Q8" s="24">
        <v>67</v>
      </c>
      <c r="R8" s="159">
        <v>384.1</v>
      </c>
      <c r="S8" s="24">
        <v>66.5</v>
      </c>
      <c r="T8" s="24"/>
      <c r="U8" s="125">
        <v>32828346</v>
      </c>
      <c r="V8" s="126">
        <v>55.7</v>
      </c>
      <c r="W8" s="127"/>
      <c r="X8" s="24"/>
      <c r="Y8" s="100"/>
      <c r="Z8" s="24"/>
      <c r="AA8" s="2"/>
      <c r="AB8" s="2" t="s">
        <v>17</v>
      </c>
      <c r="AC8" s="7" t="s">
        <v>116</v>
      </c>
      <c r="AD8" s="59"/>
      <c r="AE8" s="120"/>
      <c r="AF8" s="122"/>
      <c r="AJ8" s="4"/>
    </row>
    <row r="9" spans="1:36" x14ac:dyDescent="0.25">
      <c r="A9" s="128" t="s">
        <v>195</v>
      </c>
      <c r="B9" s="25"/>
      <c r="C9" s="28"/>
      <c r="D9" s="7"/>
      <c r="K9" s="80" t="s">
        <v>123</v>
      </c>
      <c r="L9" s="95" t="s">
        <v>85</v>
      </c>
      <c r="M9" s="95" t="s">
        <v>93</v>
      </c>
      <c r="N9">
        <v>0.8</v>
      </c>
      <c r="O9" s="148">
        <v>0</v>
      </c>
      <c r="P9" s="24">
        <v>139.4</v>
      </c>
      <c r="Q9" s="24">
        <v>10.3</v>
      </c>
      <c r="R9" s="159">
        <v>3.42</v>
      </c>
      <c r="S9" s="24"/>
      <c r="T9" s="24"/>
      <c r="U9" s="125">
        <v>61073</v>
      </c>
      <c r="V9" s="126">
        <v>76.8</v>
      </c>
      <c r="W9" s="127"/>
      <c r="X9" s="24"/>
      <c r="Y9" s="100"/>
      <c r="Z9" s="24"/>
      <c r="AA9" s="2"/>
      <c r="AB9" s="2" t="s">
        <v>16</v>
      </c>
      <c r="AC9" s="7" t="s">
        <v>116</v>
      </c>
      <c r="AD9" s="59"/>
      <c r="AE9" s="120">
        <v>20</v>
      </c>
      <c r="AF9" s="122" t="s">
        <v>127</v>
      </c>
      <c r="AJ9" s="4"/>
    </row>
    <row r="10" spans="1:36" x14ac:dyDescent="0.25">
      <c r="A10" s="128" t="s">
        <v>195</v>
      </c>
      <c r="B10" s="25"/>
      <c r="C10" s="28"/>
      <c r="D10" s="7"/>
      <c r="K10" s="80" t="s">
        <v>123</v>
      </c>
      <c r="L10" s="95" t="s">
        <v>85</v>
      </c>
      <c r="M10" s="95" t="s">
        <v>93</v>
      </c>
      <c r="N10">
        <v>0.8</v>
      </c>
      <c r="O10" s="148">
        <v>0</v>
      </c>
      <c r="P10" s="24">
        <v>155.9</v>
      </c>
      <c r="Q10" s="24">
        <v>12</v>
      </c>
      <c r="R10" s="159">
        <v>5.55</v>
      </c>
      <c r="S10" s="24"/>
      <c r="T10" s="24"/>
      <c r="U10" s="125">
        <v>111478</v>
      </c>
      <c r="V10" s="126">
        <v>53.7</v>
      </c>
      <c r="W10" s="127"/>
      <c r="X10" s="24"/>
      <c r="Y10" s="100"/>
      <c r="Z10" s="24"/>
      <c r="AA10" s="2"/>
      <c r="AB10" s="2" t="s">
        <v>16</v>
      </c>
      <c r="AC10" s="7" t="s">
        <v>116</v>
      </c>
      <c r="AD10" s="59"/>
      <c r="AE10" s="120">
        <v>20</v>
      </c>
      <c r="AF10" s="122" t="s">
        <v>127</v>
      </c>
      <c r="AJ10" s="4"/>
    </row>
    <row r="11" spans="1:36" x14ac:dyDescent="0.25">
      <c r="A11" s="128" t="s">
        <v>195</v>
      </c>
      <c r="B11" s="25"/>
      <c r="C11" s="28"/>
      <c r="D11" s="7"/>
      <c r="K11" s="80" t="s">
        <v>123</v>
      </c>
      <c r="L11" s="95" t="s">
        <v>85</v>
      </c>
      <c r="M11" s="95" t="s">
        <v>93</v>
      </c>
      <c r="N11">
        <v>0.8</v>
      </c>
      <c r="O11" s="148">
        <v>0</v>
      </c>
      <c r="P11" s="24">
        <v>128.30000000000001</v>
      </c>
      <c r="Q11" s="24">
        <v>9.8000000000000007</v>
      </c>
      <c r="R11" s="159">
        <v>5.86</v>
      </c>
      <c r="S11" s="24"/>
      <c r="T11" s="24"/>
      <c r="U11" s="125">
        <v>95152</v>
      </c>
      <c r="V11" s="126">
        <v>68</v>
      </c>
      <c r="W11" s="127"/>
      <c r="X11" s="24"/>
      <c r="Y11" s="100"/>
      <c r="Z11" s="24"/>
      <c r="AA11" s="2"/>
      <c r="AB11" s="2" t="s">
        <v>16</v>
      </c>
      <c r="AC11" s="7" t="s">
        <v>116</v>
      </c>
      <c r="AD11" s="59"/>
      <c r="AE11" s="120">
        <v>20</v>
      </c>
      <c r="AF11" s="122" t="s">
        <v>127</v>
      </c>
      <c r="AJ11" s="4"/>
    </row>
    <row r="12" spans="1:36" x14ac:dyDescent="0.25">
      <c r="A12" s="128" t="s">
        <v>195</v>
      </c>
      <c r="B12" s="25"/>
      <c r="C12" s="28"/>
      <c r="D12" s="7"/>
      <c r="K12" s="80" t="s">
        <v>123</v>
      </c>
      <c r="L12" s="95" t="s">
        <v>85</v>
      </c>
      <c r="M12" s="95" t="s">
        <v>93</v>
      </c>
      <c r="N12">
        <v>0.8</v>
      </c>
      <c r="O12" s="148">
        <v>0</v>
      </c>
      <c r="P12" s="24">
        <v>118.7</v>
      </c>
      <c r="Q12" s="24">
        <v>9.3000000000000007</v>
      </c>
      <c r="R12" s="159">
        <v>4.92</v>
      </c>
      <c r="S12" s="24"/>
      <c r="T12" s="24"/>
      <c r="U12" s="125">
        <v>74850</v>
      </c>
      <c r="V12" s="126">
        <v>56</v>
      </c>
      <c r="W12" s="127"/>
      <c r="X12" s="24"/>
      <c r="Y12" s="100"/>
      <c r="Z12" s="24"/>
      <c r="AA12" s="2"/>
      <c r="AB12" s="2" t="s">
        <v>16</v>
      </c>
      <c r="AC12" s="7" t="s">
        <v>116</v>
      </c>
      <c r="AD12" s="59"/>
      <c r="AE12" s="120">
        <v>20</v>
      </c>
      <c r="AF12" s="122" t="s">
        <v>127</v>
      </c>
      <c r="AJ12" s="4"/>
    </row>
    <row r="13" spans="1:36" x14ac:dyDescent="0.25">
      <c r="A13" s="128" t="s">
        <v>195</v>
      </c>
      <c r="B13" s="25"/>
      <c r="C13" s="28"/>
      <c r="D13" s="7"/>
      <c r="K13" s="80" t="s">
        <v>123</v>
      </c>
      <c r="L13" s="95" t="s">
        <v>85</v>
      </c>
      <c r="M13" s="95" t="s">
        <v>93</v>
      </c>
      <c r="N13">
        <v>0.8</v>
      </c>
      <c r="O13" s="148">
        <v>0</v>
      </c>
      <c r="P13" s="24">
        <v>94.5</v>
      </c>
      <c r="Q13" s="24">
        <v>7</v>
      </c>
      <c r="R13" s="159">
        <v>0.79</v>
      </c>
      <c r="S13" s="24"/>
      <c r="T13" s="24"/>
      <c r="U13" s="125">
        <v>10300</v>
      </c>
      <c r="V13" s="126">
        <v>77.099999999999994</v>
      </c>
      <c r="W13" s="127"/>
      <c r="X13" s="24"/>
      <c r="Y13" s="100"/>
      <c r="Z13" s="24"/>
      <c r="AA13" s="2"/>
      <c r="AB13" s="2" t="s">
        <v>16</v>
      </c>
      <c r="AC13" s="7" t="s">
        <v>116</v>
      </c>
      <c r="AD13" s="59"/>
      <c r="AE13" s="120">
        <v>20</v>
      </c>
      <c r="AF13" s="122" t="s">
        <v>127</v>
      </c>
      <c r="AJ13" s="4"/>
    </row>
    <row r="14" spans="1:36" x14ac:dyDescent="0.25">
      <c r="A14" s="128" t="s">
        <v>196</v>
      </c>
      <c r="B14" s="25">
        <v>-52.02</v>
      </c>
      <c r="C14" s="28">
        <v>4.2</v>
      </c>
      <c r="D14" s="7">
        <v>66</v>
      </c>
      <c r="E14">
        <v>200</v>
      </c>
      <c r="F14">
        <v>25</v>
      </c>
      <c r="G14">
        <v>20</v>
      </c>
      <c r="H14">
        <v>10</v>
      </c>
      <c r="K14" s="80" t="s">
        <v>13</v>
      </c>
      <c r="L14" s="95" t="s">
        <v>85</v>
      </c>
      <c r="M14" s="95" t="s">
        <v>89</v>
      </c>
      <c r="N14">
        <v>1.5</v>
      </c>
      <c r="O14" s="161">
        <v>0.5</v>
      </c>
      <c r="P14" s="22">
        <v>92.6</v>
      </c>
      <c r="Q14" s="24">
        <v>7.2</v>
      </c>
      <c r="R14" s="158">
        <v>21.86</v>
      </c>
      <c r="S14" s="24">
        <v>18</v>
      </c>
      <c r="T14" s="24">
        <v>78</v>
      </c>
      <c r="U14" s="110">
        <v>254154</v>
      </c>
      <c r="V14" s="158">
        <v>63.1</v>
      </c>
      <c r="W14" s="24"/>
      <c r="X14" s="24"/>
      <c r="Y14" s="100"/>
      <c r="Z14" s="24"/>
      <c r="AA14" s="2"/>
      <c r="AB14" s="2" t="s">
        <v>16</v>
      </c>
      <c r="AC14" s="7" t="s">
        <v>116</v>
      </c>
      <c r="AD14" s="59">
        <v>5</v>
      </c>
      <c r="AE14" s="120"/>
      <c r="AF14" s="122"/>
      <c r="AJ14" s="4"/>
    </row>
    <row r="15" spans="1:36" x14ac:dyDescent="0.25">
      <c r="A15" s="128" t="s">
        <v>196</v>
      </c>
      <c r="B15" s="25"/>
      <c r="C15" s="28"/>
      <c r="D15" s="7"/>
      <c r="K15" s="80" t="s">
        <v>13</v>
      </c>
      <c r="L15" s="95" t="s">
        <v>85</v>
      </c>
      <c r="M15" s="95" t="s">
        <v>89</v>
      </c>
      <c r="N15">
        <v>1.5</v>
      </c>
      <c r="O15" s="161">
        <v>0.5</v>
      </c>
      <c r="P15" s="22">
        <v>97.9</v>
      </c>
      <c r="Q15" s="24">
        <v>7.3</v>
      </c>
      <c r="R15" s="158">
        <v>8.15</v>
      </c>
      <c r="S15" s="24">
        <v>63</v>
      </c>
      <c r="T15" s="24">
        <v>58</v>
      </c>
      <c r="U15" s="110">
        <v>103566</v>
      </c>
      <c r="V15" s="158">
        <v>68</v>
      </c>
      <c r="W15" s="24"/>
      <c r="X15" s="24"/>
      <c r="Y15" s="100"/>
      <c r="Z15" s="24"/>
      <c r="AA15" s="2"/>
      <c r="AB15" s="2" t="s">
        <v>16</v>
      </c>
      <c r="AC15" s="7" t="s">
        <v>116</v>
      </c>
      <c r="AD15" s="59">
        <v>5</v>
      </c>
      <c r="AE15" s="120"/>
      <c r="AF15" s="122"/>
      <c r="AJ15" s="4"/>
    </row>
    <row r="16" spans="1:36" x14ac:dyDescent="0.25">
      <c r="A16" s="128" t="s">
        <v>196</v>
      </c>
      <c r="B16" s="25"/>
      <c r="C16" s="28"/>
      <c r="D16" s="7"/>
      <c r="K16" s="80" t="s">
        <v>13</v>
      </c>
      <c r="L16" s="95" t="s">
        <v>85</v>
      </c>
      <c r="M16" s="95" t="s">
        <v>89</v>
      </c>
      <c r="N16">
        <v>1.5</v>
      </c>
      <c r="O16" s="161">
        <v>0.5</v>
      </c>
      <c r="P16" s="22">
        <v>84.3</v>
      </c>
      <c r="Q16" s="24">
        <v>6.7</v>
      </c>
      <c r="R16" s="158">
        <v>9.94</v>
      </c>
      <c r="S16" s="24">
        <v>60</v>
      </c>
      <c r="T16" s="24">
        <v>41</v>
      </c>
      <c r="U16" s="110">
        <v>111596</v>
      </c>
      <c r="V16" s="158">
        <v>57.7</v>
      </c>
      <c r="W16" s="24"/>
      <c r="X16" s="24"/>
      <c r="Y16" s="100"/>
      <c r="Z16" s="24"/>
      <c r="AA16" s="2"/>
      <c r="AB16" s="2" t="s">
        <v>16</v>
      </c>
      <c r="AC16" s="7" t="s">
        <v>116</v>
      </c>
      <c r="AD16" s="59">
        <v>5</v>
      </c>
      <c r="AE16" s="120"/>
      <c r="AF16" s="122"/>
      <c r="AJ16" s="4"/>
    </row>
    <row r="17" spans="1:36" x14ac:dyDescent="0.25">
      <c r="A17" s="128" t="s">
        <v>196</v>
      </c>
      <c r="B17" s="25"/>
      <c r="C17" s="28"/>
      <c r="D17" s="7"/>
      <c r="K17" s="80" t="s">
        <v>13</v>
      </c>
      <c r="L17" s="95" t="s">
        <v>85</v>
      </c>
      <c r="M17" s="95" t="s">
        <v>89</v>
      </c>
      <c r="N17">
        <v>1.5</v>
      </c>
      <c r="O17" s="161">
        <v>0.5</v>
      </c>
      <c r="P17" s="22">
        <v>104.3</v>
      </c>
      <c r="Q17" s="24">
        <v>7.6</v>
      </c>
      <c r="R17" s="158">
        <v>20.82</v>
      </c>
      <c r="S17" s="24">
        <v>37</v>
      </c>
      <c r="T17" s="24">
        <v>65</v>
      </c>
      <c r="U17" s="110">
        <v>274139</v>
      </c>
      <c r="V17" s="158">
        <v>61.1</v>
      </c>
      <c r="W17" s="24"/>
      <c r="X17" s="24"/>
      <c r="Y17" s="100"/>
      <c r="Z17" s="24"/>
      <c r="AA17" s="2"/>
      <c r="AB17" s="2" t="s">
        <v>16</v>
      </c>
      <c r="AC17" s="7" t="s">
        <v>116</v>
      </c>
      <c r="AD17" s="59">
        <v>5</v>
      </c>
      <c r="AE17" s="120"/>
      <c r="AF17" s="122"/>
      <c r="AJ17" s="4"/>
    </row>
    <row r="20" spans="1:36" ht="15.75" x14ac:dyDescent="0.25">
      <c r="B20" s="138" t="s">
        <v>150</v>
      </c>
      <c r="C20" s="138"/>
      <c r="D20" s="163"/>
      <c r="E20" s="164"/>
      <c r="F20" s="164"/>
      <c r="G20" s="164"/>
      <c r="H20" s="165"/>
    </row>
    <row r="21" spans="1:36" x14ac:dyDescent="0.25">
      <c r="B21" s="147"/>
      <c r="C21" s="145" t="s">
        <v>141</v>
      </c>
      <c r="D21" s="171" t="s">
        <v>196</v>
      </c>
      <c r="E21" s="166"/>
      <c r="F21" s="166"/>
      <c r="G21" s="166"/>
      <c r="H21" s="167"/>
    </row>
    <row r="22" spans="1:36" x14ac:dyDescent="0.25">
      <c r="B22" s="140"/>
      <c r="C22" s="141" t="s">
        <v>149</v>
      </c>
      <c r="D22" s="144">
        <v>36</v>
      </c>
      <c r="E22" s="143">
        <v>23</v>
      </c>
      <c r="F22" s="143" t="s">
        <v>156</v>
      </c>
      <c r="G22" s="143">
        <v>598600</v>
      </c>
      <c r="H22" s="168">
        <v>3696</v>
      </c>
    </row>
    <row r="23" spans="1:36" x14ac:dyDescent="0.25">
      <c r="B23" s="140"/>
      <c r="C23" s="141" t="s">
        <v>151</v>
      </c>
      <c r="D23" s="144">
        <v>0</v>
      </c>
      <c r="E23" s="143" t="s">
        <v>157</v>
      </c>
      <c r="F23" s="143" t="s">
        <v>158</v>
      </c>
      <c r="G23" s="169"/>
      <c r="H23" s="170"/>
    </row>
    <row r="24" spans="1:36" x14ac:dyDescent="0.25">
      <c r="B24" s="140"/>
      <c r="C24" s="141" t="s">
        <v>154</v>
      </c>
      <c r="D24" s="144">
        <v>-1</v>
      </c>
      <c r="E24" s="169"/>
      <c r="F24" s="169"/>
      <c r="G24" s="169"/>
      <c r="H24" s="170"/>
    </row>
    <row r="25" spans="1:36" x14ac:dyDescent="0.25">
      <c r="B25" s="140"/>
      <c r="C25" s="141" t="s">
        <v>153</v>
      </c>
      <c r="D25" s="144">
        <v>0</v>
      </c>
      <c r="E25" s="169"/>
      <c r="F25" s="169"/>
      <c r="G25" s="169"/>
      <c r="H25" s="170"/>
    </row>
    <row r="26" spans="1:36" x14ac:dyDescent="0.25">
      <c r="B26" s="140"/>
      <c r="C26" s="141" t="s">
        <v>152</v>
      </c>
      <c r="D26" s="144">
        <v>1</v>
      </c>
      <c r="E26" s="169"/>
      <c r="F26" s="169"/>
      <c r="G26" s="169"/>
      <c r="H26" s="170"/>
    </row>
    <row r="27" spans="1:36" x14ac:dyDescent="0.25">
      <c r="B27" s="140"/>
      <c r="C27" s="162" t="s">
        <v>142</v>
      </c>
      <c r="D27" s="144" t="s">
        <v>159</v>
      </c>
      <c r="E27" s="143" t="s">
        <v>160</v>
      </c>
      <c r="F27" s="169"/>
      <c r="G27" s="169"/>
      <c r="H27" s="170"/>
    </row>
    <row r="28" spans="1:36" x14ac:dyDescent="0.25">
      <c r="B28" s="140"/>
      <c r="C28" s="162" t="s">
        <v>144</v>
      </c>
      <c r="D28" s="144" t="s">
        <v>161</v>
      </c>
      <c r="E28" s="143" t="s">
        <v>162</v>
      </c>
      <c r="F28" s="169"/>
      <c r="G28" s="169"/>
      <c r="H28" s="170"/>
    </row>
    <row r="29" spans="1:36" x14ac:dyDescent="0.25">
      <c r="B29" s="140"/>
      <c r="C29" s="162" t="s">
        <v>143</v>
      </c>
      <c r="D29" s="144" t="s">
        <v>163</v>
      </c>
      <c r="E29" s="143" t="s">
        <v>164</v>
      </c>
      <c r="F29" s="169"/>
      <c r="G29" s="169"/>
      <c r="H29" s="170"/>
    </row>
    <row r="30" spans="1:36" x14ac:dyDescent="0.25">
      <c r="B30" s="140"/>
      <c r="C30" s="141" t="s">
        <v>146</v>
      </c>
      <c r="D30" s="144">
        <v>38</v>
      </c>
      <c r="E30" s="143">
        <v>40</v>
      </c>
      <c r="F30" s="143" t="s">
        <v>165</v>
      </c>
      <c r="G30" s="169"/>
      <c r="H30" s="170"/>
    </row>
    <row r="31" spans="1:36" x14ac:dyDescent="0.25">
      <c r="B31" s="140"/>
      <c r="C31" s="141" t="s">
        <v>147</v>
      </c>
      <c r="D31" s="144">
        <v>18</v>
      </c>
      <c r="E31" s="143">
        <v>17</v>
      </c>
      <c r="F31" s="143" t="s">
        <v>166</v>
      </c>
      <c r="G31" s="169"/>
      <c r="H31" s="170"/>
    </row>
    <row r="32" spans="1:36" x14ac:dyDescent="0.25">
      <c r="B32" s="140"/>
      <c r="C32" s="141" t="s">
        <v>145</v>
      </c>
      <c r="D32" s="144">
        <v>21</v>
      </c>
      <c r="E32" s="143">
        <v>20</v>
      </c>
      <c r="F32" s="143" t="s">
        <v>167</v>
      </c>
      <c r="G32" s="169"/>
      <c r="H32" s="170"/>
    </row>
    <row r="33" spans="2:8" x14ac:dyDescent="0.25">
      <c r="B33" s="140"/>
      <c r="C33" s="141" t="s">
        <v>148</v>
      </c>
      <c r="D33" s="144">
        <v>62</v>
      </c>
      <c r="E33" s="143">
        <v>62</v>
      </c>
      <c r="F33" s="143" t="s">
        <v>166</v>
      </c>
      <c r="G33" s="169"/>
      <c r="H33" s="170"/>
    </row>
    <row r="34" spans="2:8" x14ac:dyDescent="0.25">
      <c r="B34" s="140"/>
      <c r="C34" s="142"/>
      <c r="D34" s="144">
        <v>19</v>
      </c>
      <c r="E34" s="143">
        <v>22</v>
      </c>
      <c r="F34" s="143" t="s">
        <v>168</v>
      </c>
      <c r="G34" s="169"/>
      <c r="H34" s="170"/>
    </row>
    <row r="35" spans="2:8" x14ac:dyDescent="0.25">
      <c r="B35" s="140"/>
      <c r="C35" s="142"/>
      <c r="D35" s="144">
        <v>22</v>
      </c>
      <c r="E35" s="143">
        <v>19</v>
      </c>
      <c r="F35" s="143" t="s">
        <v>168</v>
      </c>
      <c r="G35" s="169"/>
      <c r="H35" s="170"/>
    </row>
    <row r="36" spans="2:8" x14ac:dyDescent="0.25">
      <c r="B36" s="140"/>
      <c r="C36" s="142"/>
      <c r="D36" s="144">
        <v>22</v>
      </c>
      <c r="E36" s="143">
        <v>19</v>
      </c>
      <c r="F36" s="143" t="s">
        <v>169</v>
      </c>
      <c r="G36" s="169"/>
      <c r="H36" s="170"/>
    </row>
    <row r="37" spans="2:8" x14ac:dyDescent="0.25">
      <c r="B37" s="140"/>
      <c r="C37" s="141"/>
      <c r="D37" s="144">
        <v>31</v>
      </c>
      <c r="E37" s="143">
        <v>30</v>
      </c>
      <c r="F37" s="143" t="s">
        <v>169</v>
      </c>
      <c r="G37" s="169"/>
      <c r="H37" s="170"/>
    </row>
    <row r="38" spans="2:8" x14ac:dyDescent="0.25">
      <c r="B38" s="140"/>
      <c r="C38" s="141"/>
      <c r="D38" s="144">
        <v>26</v>
      </c>
      <c r="E38" s="143">
        <v>32</v>
      </c>
      <c r="F38" s="143" t="s">
        <v>166</v>
      </c>
      <c r="G38" s="169"/>
      <c r="H38" s="170"/>
    </row>
    <row r="39" spans="2:8" x14ac:dyDescent="0.25">
      <c r="B39" s="140"/>
      <c r="C39" s="141"/>
      <c r="D39" s="144">
        <v>16</v>
      </c>
      <c r="E39" s="143">
        <v>13</v>
      </c>
      <c r="F39" s="143" t="s">
        <v>170</v>
      </c>
      <c r="G39" s="169"/>
      <c r="H39" s="170"/>
    </row>
    <row r="40" spans="2:8" x14ac:dyDescent="0.25">
      <c r="B40" s="140"/>
      <c r="C40" s="142"/>
      <c r="D40" s="144">
        <v>23</v>
      </c>
      <c r="E40" s="143">
        <v>28</v>
      </c>
      <c r="F40" s="143" t="s">
        <v>168</v>
      </c>
      <c r="G40" s="169"/>
      <c r="H40" s="170"/>
    </row>
    <row r="41" spans="2:8" x14ac:dyDescent="0.25">
      <c r="B41" s="140"/>
      <c r="C41" s="142"/>
      <c r="D41" s="144">
        <v>26</v>
      </c>
      <c r="E41" s="143">
        <v>20</v>
      </c>
      <c r="F41" s="143" t="s">
        <v>166</v>
      </c>
      <c r="G41" s="169"/>
      <c r="H41" s="170"/>
    </row>
    <row r="42" spans="2:8" x14ac:dyDescent="0.25">
      <c r="B42" s="140"/>
      <c r="C42" s="142"/>
      <c r="D42" s="144">
        <v>32</v>
      </c>
      <c r="E42" s="143">
        <v>24</v>
      </c>
      <c r="F42" s="143" t="s">
        <v>169</v>
      </c>
      <c r="G42" s="169"/>
      <c r="H42" s="170"/>
    </row>
    <row r="43" spans="2:8" x14ac:dyDescent="0.25">
      <c r="B43" s="140"/>
      <c r="C43" s="142"/>
      <c r="D43" s="144">
        <v>26</v>
      </c>
      <c r="E43" s="143">
        <v>27</v>
      </c>
      <c r="F43" s="143" t="s">
        <v>168</v>
      </c>
      <c r="G43" s="169"/>
      <c r="H43" s="170"/>
    </row>
    <row r="44" spans="2:8" x14ac:dyDescent="0.25">
      <c r="B44" s="140"/>
      <c r="C44" s="142"/>
      <c r="D44" s="144">
        <v>46</v>
      </c>
      <c r="E44" s="143">
        <v>58</v>
      </c>
      <c r="F44" s="143" t="s">
        <v>168</v>
      </c>
      <c r="G44" s="169"/>
      <c r="H44" s="170"/>
    </row>
    <row r="45" spans="2:8" x14ac:dyDescent="0.25">
      <c r="B45" s="140"/>
      <c r="C45" s="142"/>
      <c r="D45" s="144">
        <v>35</v>
      </c>
      <c r="E45" s="143">
        <v>41</v>
      </c>
      <c r="F45" s="143" t="s">
        <v>167</v>
      </c>
      <c r="G45" s="169"/>
      <c r="H45" s="170"/>
    </row>
    <row r="46" spans="2:8" x14ac:dyDescent="0.25">
      <c r="B46" s="140"/>
      <c r="C46" s="142"/>
      <c r="D46" s="144">
        <v>21</v>
      </c>
      <c r="E46" s="143">
        <v>35</v>
      </c>
      <c r="F46" s="143" t="s">
        <v>170</v>
      </c>
      <c r="G46" s="169"/>
      <c r="H46" s="170"/>
    </row>
    <row r="47" spans="2:8" x14ac:dyDescent="0.25">
      <c r="B47" s="140"/>
      <c r="C47" s="142"/>
      <c r="D47" s="144">
        <v>18</v>
      </c>
      <c r="E47" s="143">
        <v>22</v>
      </c>
      <c r="F47" s="143" t="s">
        <v>168</v>
      </c>
      <c r="G47" s="169"/>
      <c r="H47" s="170"/>
    </row>
    <row r="48" spans="2:8" x14ac:dyDescent="0.25">
      <c r="B48" s="140"/>
      <c r="C48" s="142"/>
      <c r="D48" s="144">
        <v>40</v>
      </c>
      <c r="E48" s="143">
        <v>42</v>
      </c>
      <c r="F48" s="143" t="s">
        <v>169</v>
      </c>
      <c r="G48" s="169"/>
      <c r="H48" s="170"/>
    </row>
    <row r="49" spans="2:8" x14ac:dyDescent="0.25">
      <c r="B49" s="140"/>
      <c r="C49" s="142"/>
      <c r="D49" s="144">
        <v>39</v>
      </c>
      <c r="E49" s="143">
        <v>41</v>
      </c>
      <c r="F49" s="143" t="s">
        <v>169</v>
      </c>
      <c r="G49" s="169"/>
      <c r="H49" s="170"/>
    </row>
    <row r="50" spans="2:8" x14ac:dyDescent="0.25">
      <c r="B50" s="140"/>
      <c r="C50" s="142"/>
      <c r="D50" s="144">
        <v>39</v>
      </c>
      <c r="E50" s="143">
        <v>52</v>
      </c>
      <c r="F50" s="143" t="s">
        <v>165</v>
      </c>
      <c r="G50" s="169"/>
      <c r="H50" s="170"/>
    </row>
    <row r="51" spans="2:8" x14ac:dyDescent="0.25">
      <c r="B51" s="140"/>
      <c r="C51" s="142"/>
      <c r="D51" s="144">
        <v>56</v>
      </c>
      <c r="E51" s="143">
        <v>45</v>
      </c>
      <c r="F51" s="143" t="s">
        <v>165</v>
      </c>
      <c r="G51" s="169"/>
      <c r="H51" s="170"/>
    </row>
    <row r="52" spans="2:8" x14ac:dyDescent="0.25">
      <c r="B52" s="140"/>
      <c r="C52" s="142"/>
      <c r="D52" s="144">
        <v>21</v>
      </c>
      <c r="E52" s="143">
        <v>22</v>
      </c>
      <c r="F52" s="143" t="s">
        <v>168</v>
      </c>
      <c r="G52" s="169"/>
      <c r="H52" s="170"/>
    </row>
    <row r="53" spans="2:8" x14ac:dyDescent="0.25">
      <c r="B53" s="140"/>
      <c r="C53" s="142"/>
      <c r="D53" s="144" t="s">
        <v>171</v>
      </c>
      <c r="E53" s="143">
        <v>44</v>
      </c>
      <c r="F53" s="143" t="s">
        <v>168</v>
      </c>
      <c r="G53" s="169"/>
      <c r="H53" s="170"/>
    </row>
    <row r="54" spans="2:8" x14ac:dyDescent="0.25">
      <c r="B54" s="140"/>
      <c r="C54" s="142"/>
      <c r="D54" s="144" t="s">
        <v>172</v>
      </c>
      <c r="E54" s="143">
        <v>30</v>
      </c>
      <c r="F54" s="143" t="s">
        <v>168</v>
      </c>
      <c r="G54" s="169"/>
      <c r="H54" s="170"/>
    </row>
    <row r="55" spans="2:8" x14ac:dyDescent="0.25">
      <c r="B55" s="140"/>
      <c r="C55" s="142"/>
      <c r="D55" s="144" t="s">
        <v>173</v>
      </c>
      <c r="E55" s="143">
        <v>63</v>
      </c>
      <c r="F55" s="143" t="s">
        <v>168</v>
      </c>
      <c r="G55" s="169"/>
      <c r="H55" s="170"/>
    </row>
    <row r="56" spans="2:8" x14ac:dyDescent="0.25">
      <c r="B56" s="140"/>
      <c r="C56" s="142"/>
      <c r="D56" s="144" t="s">
        <v>174</v>
      </c>
      <c r="E56" s="143">
        <v>43</v>
      </c>
      <c r="F56" s="143" t="s">
        <v>168</v>
      </c>
      <c r="G56" s="169"/>
      <c r="H56" s="170"/>
    </row>
    <row r="57" spans="2:8" x14ac:dyDescent="0.25">
      <c r="B57" s="140"/>
      <c r="C57" s="142"/>
      <c r="D57" s="144" t="s">
        <v>175</v>
      </c>
      <c r="E57" s="143">
        <v>30</v>
      </c>
      <c r="F57" s="143" t="s">
        <v>168</v>
      </c>
      <c r="G57" s="169"/>
      <c r="H57" s="170"/>
    </row>
    <row r="58" spans="2:8" x14ac:dyDescent="0.25">
      <c r="B58" s="140"/>
      <c r="C58" s="142"/>
      <c r="D58" s="144" t="s">
        <v>172</v>
      </c>
      <c r="E58" s="143">
        <v>51</v>
      </c>
      <c r="F58" s="143" t="s">
        <v>168</v>
      </c>
      <c r="G58" s="169"/>
      <c r="H58" s="170"/>
    </row>
    <row r="59" spans="2:8" x14ac:dyDescent="0.25">
      <c r="B59" s="140"/>
      <c r="C59" s="142"/>
      <c r="D59" s="144" t="s">
        <v>171</v>
      </c>
      <c r="E59" s="143">
        <v>58</v>
      </c>
      <c r="F59" s="143" t="s">
        <v>168</v>
      </c>
      <c r="G59" s="169"/>
      <c r="H59" s="170"/>
    </row>
    <row r="60" spans="2:8" x14ac:dyDescent="0.25">
      <c r="B60" s="140"/>
      <c r="C60" s="142"/>
      <c r="D60" s="144" t="s">
        <v>176</v>
      </c>
      <c r="E60" s="143">
        <v>70</v>
      </c>
      <c r="F60" s="143" t="s">
        <v>168</v>
      </c>
      <c r="G60" s="169"/>
      <c r="H60" s="170"/>
    </row>
    <row r="61" spans="2:8" x14ac:dyDescent="0.25">
      <c r="B61" s="140"/>
      <c r="C61" s="142"/>
      <c r="D61" s="144" t="s">
        <v>177</v>
      </c>
      <c r="E61" s="143">
        <v>52</v>
      </c>
      <c r="F61" s="143" t="s">
        <v>168</v>
      </c>
      <c r="G61" s="169"/>
      <c r="H61" s="170"/>
    </row>
    <row r="62" spans="2:8" x14ac:dyDescent="0.25">
      <c r="B62" s="140"/>
      <c r="C62" s="142"/>
      <c r="D62" s="144" t="s">
        <v>178</v>
      </c>
      <c r="E62" s="143">
        <v>29</v>
      </c>
      <c r="F62" s="143" t="s">
        <v>168</v>
      </c>
      <c r="G62" s="169"/>
      <c r="H62" s="170"/>
    </row>
    <row r="63" spans="2:8" x14ac:dyDescent="0.25">
      <c r="B63" s="140"/>
      <c r="C63" s="142"/>
      <c r="D63" s="144" t="s">
        <v>179</v>
      </c>
      <c r="E63" s="143">
        <v>81</v>
      </c>
      <c r="F63" s="143" t="s">
        <v>168</v>
      </c>
      <c r="G63" s="169"/>
      <c r="H63" s="170"/>
    </row>
    <row r="64" spans="2:8" x14ac:dyDescent="0.25">
      <c r="B64" s="140"/>
      <c r="C64" s="142"/>
      <c r="D64" s="144" t="s">
        <v>180</v>
      </c>
      <c r="E64" s="143">
        <v>62</v>
      </c>
      <c r="F64" s="143" t="s">
        <v>168</v>
      </c>
      <c r="G64" s="169"/>
      <c r="H64" s="170"/>
    </row>
    <row r="65" spans="2:8" x14ac:dyDescent="0.25">
      <c r="B65" s="140"/>
      <c r="C65" s="142"/>
      <c r="D65" s="144" t="s">
        <v>181</v>
      </c>
      <c r="E65" s="143">
        <v>41</v>
      </c>
      <c r="F65" s="143" t="s">
        <v>168</v>
      </c>
      <c r="G65" s="169"/>
      <c r="H65" s="170"/>
    </row>
    <row r="66" spans="2:8" x14ac:dyDescent="0.25">
      <c r="B66" s="140"/>
      <c r="C66" s="142"/>
      <c r="D66" s="144" t="s">
        <v>182</v>
      </c>
      <c r="E66" s="143">
        <v>69</v>
      </c>
      <c r="F66" s="143" t="s">
        <v>168</v>
      </c>
      <c r="G66" s="169"/>
      <c r="H66" s="170"/>
    </row>
    <row r="67" spans="2:8" x14ac:dyDescent="0.25">
      <c r="B67" s="140"/>
      <c r="C67" s="142"/>
      <c r="D67" s="144" t="s">
        <v>183</v>
      </c>
      <c r="E67" s="143">
        <v>49</v>
      </c>
      <c r="F67" s="143" t="s">
        <v>168</v>
      </c>
      <c r="G67" s="169"/>
      <c r="H67" s="170"/>
    </row>
    <row r="68" spans="2:8" x14ac:dyDescent="0.25">
      <c r="B68" s="140"/>
      <c r="C68" s="142"/>
      <c r="D68" s="144" t="s">
        <v>184</v>
      </c>
      <c r="E68" s="143">
        <v>33</v>
      </c>
      <c r="F68" s="143" t="s">
        <v>168</v>
      </c>
      <c r="G68" s="169"/>
      <c r="H68" s="170"/>
    </row>
    <row r="69" spans="2:8" x14ac:dyDescent="0.25">
      <c r="B69" s="140"/>
      <c r="C69" s="142"/>
      <c r="D69" s="144" t="s">
        <v>185</v>
      </c>
      <c r="E69" s="143">
        <v>79</v>
      </c>
      <c r="F69" s="143" t="s">
        <v>168</v>
      </c>
      <c r="G69" s="169"/>
      <c r="H69" s="170"/>
    </row>
    <row r="70" spans="2:8" x14ac:dyDescent="0.25">
      <c r="B70" s="140"/>
      <c r="C70" s="142"/>
      <c r="D70" s="144" t="s">
        <v>186</v>
      </c>
      <c r="E70" s="143">
        <v>79</v>
      </c>
      <c r="F70" s="143" t="s">
        <v>168</v>
      </c>
      <c r="G70" s="169"/>
      <c r="H70" s="170"/>
    </row>
    <row r="71" spans="2:8" x14ac:dyDescent="0.25">
      <c r="B71" s="140"/>
      <c r="C71" s="142"/>
      <c r="D71" s="144" t="s">
        <v>186</v>
      </c>
      <c r="E71" s="143">
        <v>77</v>
      </c>
      <c r="F71" s="143" t="s">
        <v>168</v>
      </c>
      <c r="G71" s="169"/>
      <c r="H71" s="170"/>
    </row>
    <row r="72" spans="2:8" x14ac:dyDescent="0.25">
      <c r="B72" s="140"/>
      <c r="C72" s="142"/>
      <c r="D72" s="144" t="s">
        <v>187</v>
      </c>
      <c r="E72" s="143">
        <v>52</v>
      </c>
      <c r="F72" s="143" t="s">
        <v>168</v>
      </c>
      <c r="G72" s="169"/>
      <c r="H72" s="170"/>
    </row>
    <row r="73" spans="2:8" x14ac:dyDescent="0.25">
      <c r="B73" s="140"/>
      <c r="C73" s="142"/>
      <c r="D73" s="144" t="s">
        <v>178</v>
      </c>
      <c r="E73" s="143">
        <v>58</v>
      </c>
      <c r="F73" s="143" t="s">
        <v>168</v>
      </c>
      <c r="G73" s="169"/>
      <c r="H73" s="170"/>
    </row>
    <row r="74" spans="2:8" x14ac:dyDescent="0.25">
      <c r="B74" s="140"/>
      <c r="C74" s="142"/>
      <c r="D74" s="144" t="s">
        <v>188</v>
      </c>
      <c r="E74" s="143">
        <v>47</v>
      </c>
      <c r="F74" s="143" t="s">
        <v>168</v>
      </c>
      <c r="G74" s="169"/>
      <c r="H74" s="170"/>
    </row>
    <row r="75" spans="2:8" x14ac:dyDescent="0.25">
      <c r="B75" s="140"/>
      <c r="C75" s="142"/>
      <c r="D75" s="144" t="s">
        <v>189</v>
      </c>
      <c r="E75" s="143">
        <v>58</v>
      </c>
      <c r="F75" s="143" t="s">
        <v>168</v>
      </c>
      <c r="G75" s="169"/>
      <c r="H75" s="170"/>
    </row>
    <row r="76" spans="2:8" x14ac:dyDescent="0.25">
      <c r="B76" s="140"/>
      <c r="C76" s="142"/>
      <c r="D76" s="144" t="s">
        <v>178</v>
      </c>
      <c r="E76" s="143">
        <v>67</v>
      </c>
      <c r="F76" s="143" t="s">
        <v>168</v>
      </c>
      <c r="G76" s="169"/>
      <c r="H76" s="170"/>
    </row>
    <row r="77" spans="2:8" x14ac:dyDescent="0.25">
      <c r="B77" s="140"/>
      <c r="C77" s="142"/>
      <c r="D77" s="144" t="s">
        <v>177</v>
      </c>
      <c r="E77" s="143">
        <v>58</v>
      </c>
      <c r="F77" s="143" t="s">
        <v>168</v>
      </c>
      <c r="G77" s="169"/>
      <c r="H77" s="170"/>
    </row>
    <row r="78" spans="2:8" x14ac:dyDescent="0.25">
      <c r="B78" s="140"/>
      <c r="C78" s="142"/>
      <c r="D78" s="144" t="s">
        <v>190</v>
      </c>
      <c r="E78" s="143">
        <v>87</v>
      </c>
      <c r="F78" s="143" t="s">
        <v>168</v>
      </c>
      <c r="G78" s="169"/>
      <c r="H78" s="170"/>
    </row>
    <row r="79" spans="2:8" x14ac:dyDescent="0.25">
      <c r="B79" s="140"/>
      <c r="C79" s="142"/>
      <c r="D79" s="144" t="s">
        <v>189</v>
      </c>
      <c r="E79" s="143">
        <v>90</v>
      </c>
      <c r="F79" s="143" t="s">
        <v>168</v>
      </c>
      <c r="G79" s="169"/>
      <c r="H79" s="170"/>
    </row>
    <row r="80" spans="2:8" x14ac:dyDescent="0.25">
      <c r="B80" s="140"/>
      <c r="C80" s="142"/>
      <c r="D80" s="144" t="s">
        <v>191</v>
      </c>
      <c r="E80" s="143">
        <v>41</v>
      </c>
      <c r="F80" s="143" t="s">
        <v>168</v>
      </c>
      <c r="G80" s="169"/>
      <c r="H80" s="170"/>
    </row>
    <row r="81" spans="2:8" x14ac:dyDescent="0.25">
      <c r="B81" s="140"/>
      <c r="C81" s="142"/>
      <c r="D81" s="144" t="s">
        <v>192</v>
      </c>
      <c r="E81" s="143">
        <v>89</v>
      </c>
      <c r="F81" s="143" t="s">
        <v>168</v>
      </c>
      <c r="G81" s="169"/>
      <c r="H81" s="170"/>
    </row>
    <row r="82" spans="2:8" x14ac:dyDescent="0.25">
      <c r="B82" s="140"/>
      <c r="C82" s="142"/>
      <c r="D82" s="144" t="s">
        <v>185</v>
      </c>
      <c r="E82" s="143">
        <v>67</v>
      </c>
      <c r="F82" s="143" t="s">
        <v>168</v>
      </c>
      <c r="G82" s="169"/>
      <c r="H82" s="170"/>
    </row>
    <row r="83" spans="2:8" x14ac:dyDescent="0.25">
      <c r="B83" s="140"/>
      <c r="C83" s="142"/>
      <c r="D83" s="144" t="s">
        <v>193</v>
      </c>
      <c r="E83" s="143">
        <v>61</v>
      </c>
      <c r="F83" s="143" t="s">
        <v>168</v>
      </c>
      <c r="G83" s="169"/>
      <c r="H83" s="170"/>
    </row>
    <row r="84" spans="2:8" x14ac:dyDescent="0.25">
      <c r="B84" s="140"/>
      <c r="C84" s="142"/>
      <c r="D84" s="144" t="s">
        <v>172</v>
      </c>
      <c r="E84" s="143">
        <v>61</v>
      </c>
      <c r="F84" s="143" t="s">
        <v>168</v>
      </c>
      <c r="G84" s="169"/>
      <c r="H84" s="170"/>
    </row>
    <row r="85" spans="2:8" x14ac:dyDescent="0.25">
      <c r="B85" s="140"/>
      <c r="C85" s="142"/>
      <c r="D85" s="144" t="s">
        <v>171</v>
      </c>
      <c r="E85" s="143">
        <v>38</v>
      </c>
      <c r="F85" s="143" t="s">
        <v>168</v>
      </c>
      <c r="G85" s="169"/>
      <c r="H85" s="170"/>
    </row>
    <row r="86" spans="2:8" x14ac:dyDescent="0.25">
      <c r="B86" s="140"/>
      <c r="C86" s="142"/>
      <c r="D86" s="144" t="s">
        <v>194</v>
      </c>
      <c r="E86" s="143">
        <v>66</v>
      </c>
      <c r="F86" s="143" t="s">
        <v>168</v>
      </c>
      <c r="G86" s="169"/>
      <c r="H86" s="170"/>
    </row>
    <row r="87" spans="2:8" x14ac:dyDescent="0.25">
      <c r="B87" s="140"/>
      <c r="C87" s="142"/>
      <c r="D87" s="144" t="s">
        <v>185</v>
      </c>
      <c r="E87" s="143">
        <v>65</v>
      </c>
      <c r="F87" s="143" t="s">
        <v>168</v>
      </c>
      <c r="G87" s="169"/>
      <c r="H87" s="170"/>
    </row>
    <row r="88" spans="2:8" x14ac:dyDescent="0.25">
      <c r="B88" s="140"/>
      <c r="C88" s="142"/>
      <c r="D88" s="144" t="s">
        <v>192</v>
      </c>
      <c r="E88" s="143">
        <v>63</v>
      </c>
      <c r="F88" s="143" t="s">
        <v>168</v>
      </c>
      <c r="G88" s="169"/>
      <c r="H88" s="170"/>
    </row>
  </sheetData>
  <mergeCells count="4">
    <mergeCell ref="K1:O1"/>
    <mergeCell ref="W1:Y1"/>
    <mergeCell ref="M2:O2"/>
    <mergeCell ref="W2:X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B4F6F6E-14B3-4345-A209-D73925DCD9EF}">
          <x14:formula1>
            <xm:f>Info!$B$4:$B$14</xm:f>
          </x14:formula1>
          <xm:sqref>K4:K17</xm:sqref>
        </x14:dataValidation>
        <x14:dataValidation type="list" allowBlank="1" showInputMessage="1" showErrorMessage="1" xr:uid="{3818A3C6-6F6C-4E83-A6C2-9C220340774F}">
          <x14:formula1>
            <xm:f>Info!$V$3:$V$4</xm:f>
          </x14:formula1>
          <xm:sqref>Y4:Y17</xm:sqref>
        </x14:dataValidation>
        <x14:dataValidation type="list" allowBlank="1" showInputMessage="1" showErrorMessage="1" xr:uid="{52AAE1C3-A6EE-4C1A-A1CB-4701D21C7ADF}">
          <x14:formula1>
            <xm:f>Info!$Y$3:$Y$6</xm:f>
          </x14:formula1>
          <xm:sqref>AB4:AB17</xm:sqref>
        </x14:dataValidation>
        <x14:dataValidation type="list" allowBlank="1" showInputMessage="1" showErrorMessage="1" xr:uid="{4DA0502D-54B3-4A1E-AD03-C209C5333F1C}">
          <x14:formula1>
            <xm:f>Info!$R$4:$R$8</xm:f>
          </x14:formula1>
          <xm:sqref>M4:M17</xm:sqref>
        </x14:dataValidation>
        <x14:dataValidation type="list" allowBlank="1" showInputMessage="1" showErrorMessage="1" xr:uid="{DBB592A4-70F6-4817-AF52-C12561A33BF5}">
          <x14:formula1>
            <xm:f>Info!$N$4:$N$10</xm:f>
          </x14:formula1>
          <xm:sqref>L4:L17</xm:sqref>
        </x14:dataValidation>
        <x14:dataValidation type="list" allowBlank="1" showInputMessage="1" showErrorMessage="1" xr:uid="{1A8CEC6F-0D8F-4C17-B322-839DDF28095B}">
          <x14:formula1>
            <xm:f>Info!$AB$3:$AB$5</xm:f>
          </x14:formula1>
          <xm:sqref>AC4:AC17</xm:sqref>
        </x14:dataValidation>
        <x14:dataValidation type="list" allowBlank="1" showInputMessage="1" showErrorMessage="1" xr:uid="{8751A8C8-C707-4CD2-B320-652D54C5418F}">
          <x14:formula1>
            <xm:f>Info!$AM$3:$AM$4</xm:f>
          </x14:formula1>
          <xm:sqref>AF4:AF17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A8F3-BA96-4970-AFB4-0F642A01D27B}">
  <sheetPr codeName="Feuil4"/>
  <dimension ref="A1:AL74"/>
  <sheetViews>
    <sheetView zoomScaleNormal="100" workbookViewId="0">
      <selection activeCell="L14" sqref="L14"/>
    </sheetView>
  </sheetViews>
  <sheetFormatPr baseColWidth="10" defaultRowHeight="15" x14ac:dyDescent="0.25"/>
  <cols>
    <col min="3" max="3" width="11.42578125" style="135"/>
    <col min="4" max="38" width="11.42578125" style="149"/>
  </cols>
  <sheetData>
    <row r="1" spans="1:38" s="136" customFormat="1" ht="15.75" x14ac:dyDescent="0.25">
      <c r="A1" s="137"/>
      <c r="B1" s="138" t="s">
        <v>150</v>
      </c>
      <c r="C1" s="138"/>
      <c r="D1" s="163"/>
      <c r="E1" s="164"/>
      <c r="F1" s="164"/>
      <c r="G1" s="164"/>
      <c r="H1" s="165"/>
      <c r="I1" s="163"/>
      <c r="J1" s="164"/>
      <c r="K1" s="164"/>
      <c r="L1" s="164"/>
      <c r="M1" s="165"/>
      <c r="N1" s="163"/>
      <c r="O1" s="164"/>
      <c r="P1" s="164"/>
      <c r="Q1" s="164"/>
      <c r="R1" s="165"/>
      <c r="S1" s="163"/>
      <c r="T1" s="164"/>
      <c r="U1" s="164"/>
      <c r="V1" s="164"/>
      <c r="W1" s="165"/>
      <c r="X1" s="163"/>
      <c r="Y1" s="164"/>
      <c r="Z1" s="164"/>
      <c r="AA1" s="164"/>
      <c r="AB1" s="165"/>
      <c r="AC1" s="163"/>
      <c r="AD1" s="164"/>
      <c r="AE1" s="164"/>
      <c r="AF1" s="164"/>
      <c r="AG1" s="165"/>
      <c r="AH1" s="163"/>
      <c r="AI1" s="164"/>
      <c r="AJ1" s="164"/>
      <c r="AK1" s="164"/>
      <c r="AL1" s="165"/>
    </row>
    <row r="2" spans="1:38" s="2" customFormat="1" x14ac:dyDescent="0.25">
      <c r="A2" s="146"/>
      <c r="B2" s="147"/>
      <c r="C2" s="145" t="s">
        <v>141</v>
      </c>
      <c r="D2" s="171"/>
      <c r="E2" s="166"/>
      <c r="F2" s="166"/>
      <c r="G2" s="166"/>
      <c r="H2" s="167"/>
      <c r="I2" s="171"/>
      <c r="J2" s="166"/>
      <c r="K2" s="166"/>
      <c r="L2" s="166"/>
      <c r="M2" s="167"/>
      <c r="N2" s="171"/>
      <c r="O2" s="166"/>
      <c r="P2" s="166"/>
      <c r="Q2" s="166"/>
      <c r="R2" s="167"/>
      <c r="S2" s="171"/>
      <c r="T2" s="166"/>
      <c r="U2" s="166"/>
      <c r="V2" s="166"/>
      <c r="W2" s="167"/>
      <c r="X2" s="171"/>
      <c r="Y2" s="166"/>
      <c r="Z2" s="166"/>
      <c r="AA2" s="166"/>
      <c r="AB2" s="167"/>
      <c r="AC2" s="171"/>
      <c r="AD2" s="166"/>
      <c r="AE2" s="166"/>
      <c r="AF2" s="166"/>
      <c r="AG2" s="167"/>
      <c r="AH2" s="171"/>
      <c r="AI2" s="166"/>
      <c r="AJ2" s="166"/>
      <c r="AK2" s="166"/>
      <c r="AL2" s="167"/>
    </row>
    <row r="3" spans="1:38" x14ac:dyDescent="0.25">
      <c r="A3" s="139"/>
      <c r="B3" s="140"/>
      <c r="C3" s="141" t="s">
        <v>149</v>
      </c>
      <c r="D3" s="144"/>
      <c r="E3" s="143"/>
      <c r="F3" s="143"/>
      <c r="G3" s="143"/>
      <c r="H3" s="168"/>
      <c r="I3" s="144"/>
      <c r="J3" s="143"/>
      <c r="K3" s="143"/>
      <c r="L3" s="143"/>
      <c r="M3" s="168"/>
      <c r="N3" s="144"/>
      <c r="O3" s="143"/>
      <c r="P3" s="143"/>
      <c r="Q3" s="143"/>
      <c r="R3" s="168"/>
      <c r="S3" s="144"/>
      <c r="T3" s="143"/>
      <c r="U3" s="143"/>
      <c r="V3" s="143"/>
      <c r="W3" s="168"/>
      <c r="X3" s="144"/>
      <c r="Y3" s="143"/>
      <c r="Z3" s="143"/>
      <c r="AA3" s="143"/>
      <c r="AB3" s="168"/>
      <c r="AC3" s="144"/>
      <c r="AD3" s="143"/>
      <c r="AE3" s="143"/>
      <c r="AF3" s="143"/>
      <c r="AG3" s="168"/>
      <c r="AH3" s="144"/>
      <c r="AI3" s="143"/>
      <c r="AJ3" s="143"/>
      <c r="AK3" s="143"/>
      <c r="AL3" s="168"/>
    </row>
    <row r="4" spans="1:38" x14ac:dyDescent="0.25">
      <c r="A4" s="139"/>
      <c r="B4" s="140"/>
      <c r="C4" s="141" t="s">
        <v>151</v>
      </c>
      <c r="D4" s="144"/>
      <c r="E4" s="143"/>
      <c r="F4" s="143"/>
      <c r="G4" s="169"/>
      <c r="H4" s="170"/>
      <c r="I4" s="144"/>
      <c r="J4" s="143"/>
      <c r="K4" s="143"/>
      <c r="L4" s="169"/>
      <c r="M4" s="170"/>
      <c r="N4" s="144"/>
      <c r="O4" s="143"/>
      <c r="P4" s="143"/>
      <c r="Q4" s="169"/>
      <c r="R4" s="170"/>
      <c r="S4" s="144"/>
      <c r="T4" s="143"/>
      <c r="U4" s="143"/>
      <c r="V4" s="169"/>
      <c r="W4" s="170"/>
      <c r="X4" s="144"/>
      <c r="Y4" s="143"/>
      <c r="Z4" s="143"/>
      <c r="AA4" s="169"/>
      <c r="AB4" s="170"/>
      <c r="AC4" s="144"/>
      <c r="AD4" s="143"/>
      <c r="AE4" s="143"/>
      <c r="AF4" s="169"/>
      <c r="AG4" s="170"/>
      <c r="AH4" s="144"/>
      <c r="AI4" s="143"/>
      <c r="AJ4" s="143"/>
      <c r="AK4" s="169"/>
      <c r="AL4" s="170"/>
    </row>
    <row r="5" spans="1:38" x14ac:dyDescent="0.25">
      <c r="A5" s="139"/>
      <c r="B5" s="140"/>
      <c r="C5" s="141" t="s">
        <v>154</v>
      </c>
      <c r="D5" s="144"/>
      <c r="E5" s="169"/>
      <c r="F5" s="169"/>
      <c r="G5" s="169"/>
      <c r="H5" s="170"/>
      <c r="I5" s="144"/>
      <c r="J5" s="169"/>
      <c r="K5" s="169"/>
      <c r="L5" s="169"/>
      <c r="M5" s="170"/>
      <c r="N5" s="144"/>
      <c r="O5" s="169"/>
      <c r="P5" s="169"/>
      <c r="Q5" s="169"/>
      <c r="R5" s="170"/>
      <c r="S5" s="144"/>
      <c r="T5" s="169"/>
      <c r="U5" s="169"/>
      <c r="V5" s="169"/>
      <c r="W5" s="170"/>
      <c r="X5" s="144"/>
      <c r="Y5" s="169"/>
      <c r="Z5" s="169"/>
      <c r="AA5" s="169"/>
      <c r="AB5" s="170"/>
      <c r="AC5" s="144"/>
      <c r="AD5" s="169"/>
      <c r="AE5" s="169"/>
      <c r="AF5" s="169"/>
      <c r="AG5" s="170"/>
      <c r="AH5" s="144"/>
      <c r="AI5" s="169"/>
      <c r="AJ5" s="169"/>
      <c r="AK5" s="169"/>
      <c r="AL5" s="170"/>
    </row>
    <row r="6" spans="1:38" x14ac:dyDescent="0.25">
      <c r="A6" s="139"/>
      <c r="B6" s="140"/>
      <c r="C6" s="141" t="s">
        <v>153</v>
      </c>
      <c r="D6" s="144"/>
      <c r="E6" s="169"/>
      <c r="F6" s="169"/>
      <c r="G6" s="169"/>
      <c r="H6" s="170"/>
      <c r="I6" s="144"/>
      <c r="J6" s="169"/>
      <c r="K6" s="169"/>
      <c r="L6" s="169"/>
      <c r="M6" s="170"/>
      <c r="N6" s="144"/>
      <c r="O6" s="169"/>
      <c r="P6" s="169"/>
      <c r="Q6" s="169"/>
      <c r="R6" s="170"/>
      <c r="S6" s="144"/>
      <c r="T6" s="169"/>
      <c r="U6" s="169"/>
      <c r="V6" s="169"/>
      <c r="W6" s="170"/>
      <c r="X6" s="144"/>
      <c r="Y6" s="169"/>
      <c r="Z6" s="169"/>
      <c r="AA6" s="169"/>
      <c r="AB6" s="170"/>
      <c r="AC6" s="144"/>
      <c r="AD6" s="169"/>
      <c r="AE6" s="169"/>
      <c r="AF6" s="169"/>
      <c r="AG6" s="170"/>
      <c r="AH6" s="144"/>
      <c r="AI6" s="169"/>
      <c r="AJ6" s="169"/>
      <c r="AK6" s="169"/>
      <c r="AL6" s="170"/>
    </row>
    <row r="7" spans="1:38" x14ac:dyDescent="0.25">
      <c r="A7" s="139"/>
      <c r="B7" s="140"/>
      <c r="C7" s="141" t="s">
        <v>152</v>
      </c>
      <c r="D7" s="144"/>
      <c r="E7" s="169"/>
      <c r="F7" s="169"/>
      <c r="G7" s="169"/>
      <c r="H7" s="170"/>
      <c r="I7" s="144"/>
      <c r="J7" s="169"/>
      <c r="K7" s="169"/>
      <c r="L7" s="169"/>
      <c r="M7" s="170"/>
      <c r="N7" s="144"/>
      <c r="O7" s="169"/>
      <c r="P7" s="169"/>
      <c r="Q7" s="169"/>
      <c r="R7" s="170"/>
      <c r="S7" s="144"/>
      <c r="T7" s="169"/>
      <c r="U7" s="169"/>
      <c r="V7" s="169"/>
      <c r="W7" s="170"/>
      <c r="X7" s="144"/>
      <c r="Y7" s="169"/>
      <c r="Z7" s="169"/>
      <c r="AA7" s="169"/>
      <c r="AB7" s="170"/>
      <c r="AC7" s="144"/>
      <c r="AD7" s="169"/>
      <c r="AE7" s="169"/>
      <c r="AF7" s="169"/>
      <c r="AG7" s="170"/>
      <c r="AH7" s="144"/>
      <c r="AI7" s="169"/>
      <c r="AJ7" s="169"/>
      <c r="AK7" s="169"/>
      <c r="AL7" s="170"/>
    </row>
    <row r="8" spans="1:38" x14ac:dyDescent="0.25">
      <c r="A8" s="139"/>
      <c r="B8" s="140"/>
      <c r="C8" s="162" t="s">
        <v>142</v>
      </c>
      <c r="D8" s="144"/>
      <c r="E8" s="143"/>
      <c r="F8" s="169"/>
      <c r="G8" s="169"/>
      <c r="H8" s="170"/>
      <c r="I8" s="144"/>
      <c r="J8" s="143"/>
      <c r="K8" s="169"/>
      <c r="L8" s="169"/>
      <c r="M8" s="170"/>
      <c r="N8" s="144"/>
      <c r="O8" s="143"/>
      <c r="P8" s="169"/>
      <c r="Q8" s="169"/>
      <c r="R8" s="170"/>
      <c r="S8" s="144"/>
      <c r="T8" s="143"/>
      <c r="U8" s="169"/>
      <c r="V8" s="169"/>
      <c r="W8" s="170"/>
      <c r="X8" s="144"/>
      <c r="Y8" s="143"/>
      <c r="Z8" s="169"/>
      <c r="AA8" s="169"/>
      <c r="AB8" s="170"/>
      <c r="AC8" s="144"/>
      <c r="AD8" s="143"/>
      <c r="AE8" s="169"/>
      <c r="AF8" s="169"/>
      <c r="AG8" s="170"/>
      <c r="AH8" s="144"/>
      <c r="AI8" s="143"/>
      <c r="AJ8" s="169"/>
      <c r="AK8" s="169"/>
      <c r="AL8" s="170"/>
    </row>
    <row r="9" spans="1:38" x14ac:dyDescent="0.25">
      <c r="A9" s="139"/>
      <c r="B9" s="140"/>
      <c r="C9" s="162" t="s">
        <v>144</v>
      </c>
      <c r="D9" s="144"/>
      <c r="E9" s="143"/>
      <c r="F9" s="169"/>
      <c r="G9" s="169"/>
      <c r="H9" s="170"/>
      <c r="I9" s="144"/>
      <c r="J9" s="143"/>
      <c r="K9" s="169"/>
      <c r="L9" s="169"/>
      <c r="M9" s="170"/>
      <c r="N9" s="144"/>
      <c r="O9" s="143"/>
      <c r="P9" s="169"/>
      <c r="Q9" s="169"/>
      <c r="R9" s="170"/>
      <c r="S9" s="144"/>
      <c r="T9" s="143"/>
      <c r="U9" s="169"/>
      <c r="V9" s="169"/>
      <c r="W9" s="170"/>
      <c r="X9" s="144"/>
      <c r="Y9" s="143"/>
      <c r="Z9" s="169"/>
      <c r="AA9" s="169"/>
      <c r="AB9" s="170"/>
      <c r="AC9" s="144"/>
      <c r="AD9" s="143"/>
      <c r="AE9" s="169"/>
      <c r="AF9" s="169"/>
      <c r="AG9" s="170"/>
      <c r="AH9" s="144"/>
      <c r="AI9" s="143"/>
      <c r="AJ9" s="169"/>
      <c r="AK9" s="169"/>
      <c r="AL9" s="170"/>
    </row>
    <row r="10" spans="1:38" x14ac:dyDescent="0.25">
      <c r="A10" s="139"/>
      <c r="B10" s="140"/>
      <c r="C10" s="162" t="s">
        <v>143</v>
      </c>
      <c r="D10" s="144"/>
      <c r="E10" s="143"/>
      <c r="F10" s="169"/>
      <c r="G10" s="169"/>
      <c r="H10" s="170"/>
      <c r="I10" s="144"/>
      <c r="J10" s="143"/>
      <c r="K10" s="169"/>
      <c r="L10" s="169"/>
      <c r="M10" s="170"/>
      <c r="N10" s="144"/>
      <c r="O10" s="143"/>
      <c r="P10" s="169"/>
      <c r="Q10" s="169"/>
      <c r="R10" s="170"/>
      <c r="S10" s="144"/>
      <c r="T10" s="143"/>
      <c r="U10" s="169"/>
      <c r="V10" s="169"/>
      <c r="W10" s="170"/>
      <c r="X10" s="144"/>
      <c r="Y10" s="143"/>
      <c r="Z10" s="169"/>
      <c r="AA10" s="169"/>
      <c r="AB10" s="170"/>
      <c r="AC10" s="144"/>
      <c r="AD10" s="143"/>
      <c r="AE10" s="169"/>
      <c r="AF10" s="169"/>
      <c r="AG10" s="170"/>
      <c r="AH10" s="144"/>
      <c r="AI10" s="143"/>
      <c r="AJ10" s="169"/>
      <c r="AK10" s="169"/>
      <c r="AL10" s="170"/>
    </row>
    <row r="11" spans="1:38" x14ac:dyDescent="0.25">
      <c r="A11" s="139"/>
      <c r="B11" s="140"/>
      <c r="C11" s="141" t="s">
        <v>146</v>
      </c>
      <c r="D11" s="144"/>
      <c r="E11" s="143"/>
      <c r="F11" s="143"/>
      <c r="G11" s="169"/>
      <c r="H11" s="170"/>
      <c r="I11" s="144"/>
      <c r="J11" s="143"/>
      <c r="K11" s="143"/>
      <c r="L11" s="169"/>
      <c r="M11" s="170"/>
      <c r="N11" s="144"/>
      <c r="O11" s="143"/>
      <c r="P11" s="143"/>
      <c r="Q11" s="169"/>
      <c r="R11" s="170"/>
      <c r="S11" s="144"/>
      <c r="T11" s="143"/>
      <c r="U11" s="143"/>
      <c r="V11" s="169"/>
      <c r="W11" s="170"/>
      <c r="X11" s="144"/>
      <c r="Y11" s="143"/>
      <c r="Z11" s="143"/>
      <c r="AA11" s="169"/>
      <c r="AB11" s="170"/>
      <c r="AC11" s="144"/>
      <c r="AD11" s="143"/>
      <c r="AE11" s="143"/>
      <c r="AF11" s="169"/>
      <c r="AG11" s="170"/>
      <c r="AH11" s="144"/>
      <c r="AI11" s="143"/>
      <c r="AJ11" s="143"/>
      <c r="AK11" s="169"/>
      <c r="AL11" s="170"/>
    </row>
    <row r="12" spans="1:38" x14ac:dyDescent="0.25">
      <c r="A12" s="139"/>
      <c r="B12" s="140"/>
      <c r="C12" s="141" t="s">
        <v>147</v>
      </c>
      <c r="D12" s="144"/>
      <c r="E12" s="143"/>
      <c r="F12" s="143"/>
      <c r="G12" s="169"/>
      <c r="H12" s="170"/>
      <c r="I12" s="144"/>
      <c r="J12" s="143"/>
      <c r="K12" s="143"/>
      <c r="L12" s="169"/>
      <c r="M12" s="170"/>
      <c r="N12" s="144"/>
      <c r="O12" s="143"/>
      <c r="P12" s="143"/>
      <c r="Q12" s="169"/>
      <c r="R12" s="170"/>
      <c r="S12" s="144"/>
      <c r="T12" s="143"/>
      <c r="U12" s="143"/>
      <c r="V12" s="169"/>
      <c r="W12" s="170"/>
      <c r="X12" s="144"/>
      <c r="Y12" s="143"/>
      <c r="Z12" s="143"/>
      <c r="AA12" s="169"/>
      <c r="AB12" s="170"/>
      <c r="AC12" s="144"/>
      <c r="AD12" s="143"/>
      <c r="AE12" s="143"/>
      <c r="AF12" s="169"/>
      <c r="AG12" s="170"/>
      <c r="AH12" s="144"/>
      <c r="AI12" s="143"/>
      <c r="AJ12" s="143"/>
      <c r="AK12" s="169"/>
      <c r="AL12" s="170"/>
    </row>
    <row r="13" spans="1:38" x14ac:dyDescent="0.25">
      <c r="A13" s="139"/>
      <c r="B13" s="140"/>
      <c r="C13" s="141" t="s">
        <v>145</v>
      </c>
      <c r="D13" s="144"/>
      <c r="E13" s="143"/>
      <c r="F13" s="143"/>
      <c r="G13" s="169"/>
      <c r="H13" s="170"/>
      <c r="I13" s="144"/>
      <c r="J13" s="143"/>
      <c r="K13" s="143"/>
      <c r="L13" s="169"/>
      <c r="M13" s="170"/>
      <c r="N13" s="144"/>
      <c r="O13" s="143"/>
      <c r="P13" s="143"/>
      <c r="Q13" s="169"/>
      <c r="R13" s="170"/>
      <c r="S13" s="144"/>
      <c r="T13" s="143"/>
      <c r="U13" s="143"/>
      <c r="V13" s="169"/>
      <c r="W13" s="170"/>
      <c r="X13" s="144"/>
      <c r="Y13" s="143"/>
      <c r="Z13" s="143"/>
      <c r="AA13" s="169"/>
      <c r="AB13" s="170"/>
      <c r="AC13" s="144"/>
      <c r="AD13" s="143"/>
      <c r="AE13" s="143"/>
      <c r="AF13" s="169"/>
      <c r="AG13" s="170"/>
      <c r="AH13" s="144"/>
      <c r="AI13" s="143"/>
      <c r="AJ13" s="143"/>
      <c r="AK13" s="169"/>
      <c r="AL13" s="170"/>
    </row>
    <row r="14" spans="1:38" x14ac:dyDescent="0.25">
      <c r="A14" s="139"/>
      <c r="B14" s="140"/>
      <c r="C14" s="141" t="s">
        <v>148</v>
      </c>
      <c r="D14" s="144"/>
      <c r="E14" s="143"/>
      <c r="F14" s="143"/>
      <c r="G14" s="169"/>
      <c r="H14" s="170"/>
      <c r="I14" s="144"/>
      <c r="J14" s="143"/>
      <c r="K14" s="143"/>
      <c r="L14" s="169"/>
      <c r="M14" s="170"/>
      <c r="N14" s="144"/>
      <c r="O14" s="143"/>
      <c r="P14" s="143"/>
      <c r="Q14" s="169"/>
      <c r="R14" s="170"/>
      <c r="S14" s="144"/>
      <c r="T14" s="143"/>
      <c r="U14" s="143"/>
      <c r="V14" s="169"/>
      <c r="W14" s="170"/>
      <c r="X14" s="144"/>
      <c r="Y14" s="143"/>
      <c r="Z14" s="143"/>
      <c r="AA14" s="169"/>
      <c r="AB14" s="170"/>
      <c r="AC14" s="144"/>
      <c r="AD14" s="143"/>
      <c r="AE14" s="143"/>
      <c r="AF14" s="169"/>
      <c r="AG14" s="170"/>
      <c r="AH14" s="144"/>
      <c r="AI14" s="143"/>
      <c r="AJ14" s="143"/>
      <c r="AK14" s="169"/>
      <c r="AL14" s="170"/>
    </row>
    <row r="15" spans="1:38" x14ac:dyDescent="0.25">
      <c r="A15" s="139"/>
      <c r="B15" s="140"/>
      <c r="C15" s="142"/>
      <c r="D15" s="144"/>
      <c r="E15" s="143"/>
      <c r="F15" s="143"/>
      <c r="G15" s="169"/>
      <c r="H15" s="170"/>
      <c r="I15" s="144"/>
      <c r="J15" s="143"/>
      <c r="K15" s="143"/>
      <c r="L15" s="169"/>
      <c r="M15" s="170"/>
      <c r="N15" s="144"/>
      <c r="O15" s="143"/>
      <c r="P15" s="143"/>
      <c r="Q15" s="169"/>
      <c r="R15" s="170"/>
      <c r="S15" s="144"/>
      <c r="T15" s="143"/>
      <c r="U15" s="143"/>
      <c r="V15" s="169"/>
      <c r="W15" s="170"/>
      <c r="X15" s="144"/>
      <c r="Y15" s="143"/>
      <c r="Z15" s="143"/>
      <c r="AA15" s="169"/>
      <c r="AB15" s="170"/>
      <c r="AC15" s="144"/>
      <c r="AD15" s="143"/>
      <c r="AE15" s="143"/>
      <c r="AF15" s="169"/>
      <c r="AG15" s="170"/>
      <c r="AH15" s="144"/>
      <c r="AI15" s="143"/>
      <c r="AJ15" s="143"/>
      <c r="AK15" s="169"/>
      <c r="AL15" s="170"/>
    </row>
    <row r="16" spans="1:38" x14ac:dyDescent="0.25">
      <c r="A16" s="139"/>
      <c r="B16" s="140"/>
      <c r="C16" s="142"/>
      <c r="D16" s="144"/>
      <c r="E16" s="143"/>
      <c r="F16" s="143"/>
      <c r="G16" s="169"/>
      <c r="H16" s="170"/>
      <c r="I16" s="144"/>
      <c r="J16" s="143"/>
      <c r="K16" s="143"/>
      <c r="L16" s="169"/>
      <c r="M16" s="170"/>
      <c r="N16" s="144"/>
      <c r="O16" s="143"/>
      <c r="P16" s="143"/>
      <c r="Q16" s="169"/>
      <c r="R16" s="170"/>
      <c r="S16" s="144"/>
      <c r="T16" s="143"/>
      <c r="U16" s="143"/>
      <c r="V16" s="169"/>
      <c r="W16" s="170"/>
      <c r="X16" s="144"/>
      <c r="Y16" s="143"/>
      <c r="Z16" s="143"/>
      <c r="AA16" s="169"/>
      <c r="AB16" s="170"/>
      <c r="AC16" s="144"/>
      <c r="AD16" s="143"/>
      <c r="AE16" s="143"/>
      <c r="AF16" s="169"/>
      <c r="AG16" s="170"/>
      <c r="AH16" s="144"/>
      <c r="AI16" s="143"/>
      <c r="AJ16" s="143"/>
      <c r="AK16" s="169"/>
      <c r="AL16" s="170"/>
    </row>
    <row r="17" spans="1:38" x14ac:dyDescent="0.25">
      <c r="A17" s="139"/>
      <c r="B17" s="140"/>
      <c r="C17" s="142"/>
      <c r="D17" s="144"/>
      <c r="E17" s="143"/>
      <c r="F17" s="143"/>
      <c r="G17" s="169"/>
      <c r="H17" s="170"/>
      <c r="I17" s="144"/>
      <c r="J17" s="143"/>
      <c r="K17" s="143"/>
      <c r="L17" s="169"/>
      <c r="M17" s="170"/>
      <c r="N17" s="144"/>
      <c r="O17" s="143"/>
      <c r="P17" s="143"/>
      <c r="Q17" s="169"/>
      <c r="R17" s="170"/>
      <c r="S17" s="144"/>
      <c r="T17" s="143"/>
      <c r="U17" s="143"/>
      <c r="V17" s="169"/>
      <c r="W17" s="170"/>
      <c r="X17" s="144"/>
      <c r="Y17" s="143"/>
      <c r="Z17" s="143"/>
      <c r="AA17" s="169"/>
      <c r="AB17" s="170"/>
      <c r="AC17" s="144"/>
      <c r="AD17" s="143"/>
      <c r="AE17" s="143"/>
      <c r="AF17" s="169"/>
      <c r="AG17" s="170"/>
      <c r="AH17" s="144"/>
      <c r="AI17" s="143"/>
      <c r="AJ17" s="143"/>
      <c r="AK17" s="169"/>
      <c r="AL17" s="170"/>
    </row>
    <row r="18" spans="1:38" x14ac:dyDescent="0.25">
      <c r="A18" s="139"/>
      <c r="B18" s="140"/>
      <c r="C18" s="141"/>
      <c r="D18" s="144"/>
      <c r="E18" s="143"/>
      <c r="F18" s="143"/>
      <c r="G18" s="169"/>
      <c r="H18" s="170"/>
      <c r="I18" s="144"/>
      <c r="J18" s="143"/>
      <c r="K18" s="143"/>
      <c r="L18" s="169"/>
      <c r="M18" s="170"/>
      <c r="N18" s="144"/>
      <c r="O18" s="143"/>
      <c r="P18" s="143"/>
      <c r="Q18" s="169"/>
      <c r="R18" s="170"/>
      <c r="S18" s="144"/>
      <c r="T18" s="143"/>
      <c r="U18" s="143"/>
      <c r="V18" s="169"/>
      <c r="W18" s="170"/>
      <c r="X18" s="144"/>
      <c r="Y18" s="143"/>
      <c r="Z18" s="143"/>
      <c r="AA18" s="169"/>
      <c r="AB18" s="170"/>
      <c r="AC18" s="144"/>
      <c r="AD18" s="143"/>
      <c r="AE18" s="143"/>
      <c r="AF18" s="169"/>
      <c r="AG18" s="170"/>
      <c r="AH18" s="144"/>
      <c r="AI18" s="143"/>
      <c r="AJ18" s="143"/>
      <c r="AK18" s="169"/>
      <c r="AL18" s="170"/>
    </row>
    <row r="19" spans="1:38" x14ac:dyDescent="0.25">
      <c r="A19" s="139"/>
      <c r="B19" s="140"/>
      <c r="C19" s="141"/>
      <c r="D19" s="144"/>
      <c r="E19" s="143"/>
      <c r="F19" s="143"/>
      <c r="G19" s="169"/>
      <c r="H19" s="170"/>
      <c r="I19" s="144"/>
      <c r="J19" s="143"/>
      <c r="K19" s="143"/>
      <c r="L19" s="169"/>
      <c r="M19" s="170"/>
      <c r="N19" s="144"/>
      <c r="O19" s="143"/>
      <c r="P19" s="143"/>
      <c r="Q19" s="169"/>
      <c r="R19" s="170"/>
      <c r="S19" s="144"/>
      <c r="T19" s="143"/>
      <c r="U19" s="143"/>
      <c r="V19" s="169"/>
      <c r="W19" s="170"/>
      <c r="X19" s="144"/>
      <c r="Y19" s="143"/>
      <c r="Z19" s="143"/>
      <c r="AA19" s="169"/>
      <c r="AB19" s="170"/>
      <c r="AC19" s="144"/>
      <c r="AD19" s="143"/>
      <c r="AE19" s="143"/>
      <c r="AF19" s="169"/>
      <c r="AG19" s="170"/>
      <c r="AH19" s="144"/>
      <c r="AI19" s="143"/>
      <c r="AJ19" s="143"/>
      <c r="AK19" s="169"/>
      <c r="AL19" s="170"/>
    </row>
    <row r="20" spans="1:38" x14ac:dyDescent="0.25">
      <c r="A20" s="139"/>
      <c r="B20" s="140"/>
      <c r="C20" s="141"/>
      <c r="D20" s="144"/>
      <c r="E20" s="143"/>
      <c r="F20" s="143"/>
      <c r="G20" s="169"/>
      <c r="H20" s="170"/>
      <c r="I20" s="144"/>
      <c r="J20" s="143"/>
      <c r="K20" s="143"/>
      <c r="L20" s="169"/>
      <c r="M20" s="170"/>
      <c r="N20" s="144"/>
      <c r="O20" s="143"/>
      <c r="P20" s="143"/>
      <c r="Q20" s="169"/>
      <c r="R20" s="170"/>
      <c r="S20" s="144"/>
      <c r="T20" s="143"/>
      <c r="U20" s="143"/>
      <c r="V20" s="169"/>
      <c r="W20" s="170"/>
      <c r="X20" s="144"/>
      <c r="Y20" s="143"/>
      <c r="Z20" s="143"/>
      <c r="AA20" s="169"/>
      <c r="AB20" s="170"/>
      <c r="AC20" s="144"/>
      <c r="AD20" s="143"/>
      <c r="AE20" s="143"/>
      <c r="AF20" s="169"/>
      <c r="AG20" s="170"/>
      <c r="AH20" s="144"/>
      <c r="AI20" s="143"/>
      <c r="AJ20" s="143"/>
      <c r="AK20" s="169"/>
      <c r="AL20" s="170"/>
    </row>
    <row r="21" spans="1:38" x14ac:dyDescent="0.25">
      <c r="A21" s="139"/>
      <c r="B21" s="140"/>
      <c r="C21" s="142"/>
      <c r="D21" s="144"/>
      <c r="E21" s="143"/>
      <c r="F21" s="143"/>
      <c r="G21" s="169"/>
      <c r="H21" s="170"/>
      <c r="I21" s="144"/>
      <c r="J21" s="143"/>
      <c r="K21" s="143"/>
      <c r="L21" s="169"/>
      <c r="M21" s="170"/>
      <c r="N21" s="144"/>
      <c r="O21" s="143"/>
      <c r="P21" s="143"/>
      <c r="Q21" s="169"/>
      <c r="R21" s="170"/>
      <c r="S21" s="144"/>
      <c r="T21" s="143"/>
      <c r="U21" s="143"/>
      <c r="V21" s="169"/>
      <c r="W21" s="170"/>
      <c r="X21" s="144"/>
      <c r="Y21" s="143"/>
      <c r="Z21" s="143"/>
      <c r="AA21" s="169"/>
      <c r="AB21" s="170"/>
      <c r="AC21" s="144"/>
      <c r="AD21" s="143"/>
      <c r="AE21" s="143"/>
      <c r="AF21" s="169"/>
      <c r="AG21" s="170"/>
      <c r="AH21" s="144"/>
      <c r="AI21" s="143"/>
      <c r="AJ21" s="143"/>
      <c r="AK21" s="169"/>
      <c r="AL21" s="170"/>
    </row>
    <row r="22" spans="1:38" x14ac:dyDescent="0.25">
      <c r="A22" s="139"/>
      <c r="B22" s="140"/>
      <c r="C22" s="142"/>
      <c r="D22" s="144"/>
      <c r="E22" s="143"/>
      <c r="F22" s="143"/>
      <c r="G22" s="169"/>
      <c r="H22" s="170"/>
      <c r="I22" s="144"/>
      <c r="J22" s="143"/>
      <c r="K22" s="143"/>
      <c r="L22" s="169"/>
      <c r="M22" s="170"/>
      <c r="N22" s="144"/>
      <c r="O22" s="143"/>
      <c r="P22" s="143"/>
      <c r="Q22" s="169"/>
      <c r="R22" s="170"/>
      <c r="S22" s="144"/>
      <c r="T22" s="143"/>
      <c r="U22" s="143"/>
      <c r="V22" s="169"/>
      <c r="W22" s="170"/>
      <c r="X22" s="144"/>
      <c r="Y22" s="143"/>
      <c r="Z22" s="143"/>
      <c r="AA22" s="169"/>
      <c r="AB22" s="170"/>
      <c r="AC22" s="144"/>
      <c r="AD22" s="143"/>
      <c r="AE22" s="143"/>
      <c r="AF22" s="169"/>
      <c r="AG22" s="170"/>
      <c r="AH22" s="144"/>
      <c r="AI22" s="143"/>
      <c r="AJ22" s="143"/>
      <c r="AK22" s="169"/>
      <c r="AL22" s="170"/>
    </row>
    <row r="23" spans="1:38" x14ac:dyDescent="0.25">
      <c r="A23" s="139"/>
      <c r="B23" s="140"/>
      <c r="C23" s="142"/>
      <c r="D23" s="144"/>
      <c r="E23" s="143"/>
      <c r="F23" s="143"/>
      <c r="G23" s="169"/>
      <c r="H23" s="170"/>
      <c r="I23" s="144"/>
      <c r="J23" s="143"/>
      <c r="K23" s="143"/>
      <c r="L23" s="169"/>
      <c r="M23" s="170"/>
      <c r="N23" s="144"/>
      <c r="O23" s="143"/>
      <c r="P23" s="143"/>
      <c r="Q23" s="169"/>
      <c r="R23" s="170"/>
      <c r="S23" s="144"/>
      <c r="T23" s="143"/>
      <c r="U23" s="143"/>
      <c r="V23" s="169"/>
      <c r="W23" s="170"/>
      <c r="X23" s="144"/>
      <c r="Y23" s="143"/>
      <c r="Z23" s="143"/>
      <c r="AA23" s="169"/>
      <c r="AB23" s="170"/>
      <c r="AC23" s="144"/>
      <c r="AD23" s="143"/>
      <c r="AE23" s="143"/>
      <c r="AF23" s="169"/>
      <c r="AG23" s="170"/>
      <c r="AH23" s="144"/>
      <c r="AI23" s="143"/>
      <c r="AJ23" s="143"/>
      <c r="AK23" s="169"/>
      <c r="AL23" s="170"/>
    </row>
    <row r="24" spans="1:38" x14ac:dyDescent="0.25">
      <c r="A24" s="139"/>
      <c r="B24" s="140"/>
      <c r="C24" s="142"/>
      <c r="D24" s="144"/>
      <c r="E24" s="143"/>
      <c r="F24" s="143"/>
      <c r="G24" s="169"/>
      <c r="H24" s="170"/>
      <c r="I24" s="144"/>
      <c r="J24" s="143"/>
      <c r="K24" s="143"/>
      <c r="L24" s="169"/>
      <c r="M24" s="170"/>
      <c r="N24" s="144"/>
      <c r="O24" s="143"/>
      <c r="P24" s="143"/>
      <c r="Q24" s="169"/>
      <c r="R24" s="170"/>
      <c r="S24" s="144"/>
      <c r="T24" s="143"/>
      <c r="U24" s="143"/>
      <c r="V24" s="169"/>
      <c r="W24" s="170"/>
      <c r="X24" s="144"/>
      <c r="Y24" s="143"/>
      <c r="Z24" s="143"/>
      <c r="AA24" s="169"/>
      <c r="AB24" s="170"/>
      <c r="AC24" s="144"/>
      <c r="AD24" s="143"/>
      <c r="AE24" s="143"/>
      <c r="AF24" s="169"/>
      <c r="AG24" s="170"/>
      <c r="AH24" s="144"/>
      <c r="AI24" s="143"/>
      <c r="AJ24" s="143"/>
      <c r="AK24" s="169"/>
      <c r="AL24" s="170"/>
    </row>
    <row r="25" spans="1:38" x14ac:dyDescent="0.25">
      <c r="A25" s="139"/>
      <c r="B25" s="140"/>
      <c r="C25" s="142"/>
      <c r="D25" s="144"/>
      <c r="E25" s="143"/>
      <c r="F25" s="143"/>
      <c r="G25" s="169"/>
      <c r="H25" s="170"/>
      <c r="I25" s="144"/>
      <c r="J25" s="143"/>
      <c r="K25" s="143"/>
      <c r="L25" s="169"/>
      <c r="M25" s="170"/>
      <c r="N25" s="144"/>
      <c r="O25" s="143"/>
      <c r="P25" s="143"/>
      <c r="Q25" s="169"/>
      <c r="R25" s="170"/>
      <c r="S25" s="144"/>
      <c r="T25" s="143"/>
      <c r="U25" s="143"/>
      <c r="V25" s="169"/>
      <c r="W25" s="170"/>
      <c r="X25" s="144"/>
      <c r="Y25" s="143"/>
      <c r="Z25" s="143"/>
      <c r="AA25" s="169"/>
      <c r="AB25" s="170"/>
      <c r="AC25" s="144"/>
      <c r="AD25" s="143"/>
      <c r="AE25" s="143"/>
      <c r="AF25" s="169"/>
      <c r="AG25" s="170"/>
      <c r="AH25" s="144"/>
      <c r="AI25" s="143"/>
      <c r="AJ25" s="143"/>
      <c r="AK25" s="169"/>
      <c r="AL25" s="170"/>
    </row>
    <row r="26" spans="1:38" x14ac:dyDescent="0.25">
      <c r="A26" s="139"/>
      <c r="B26" s="140"/>
      <c r="C26" s="142"/>
      <c r="D26" s="144"/>
      <c r="E26" s="143"/>
      <c r="F26" s="143"/>
      <c r="G26" s="169"/>
      <c r="H26" s="170"/>
      <c r="I26" s="144"/>
      <c r="J26" s="143"/>
      <c r="K26" s="143"/>
      <c r="L26" s="169"/>
      <c r="M26" s="170"/>
      <c r="N26" s="144"/>
      <c r="O26" s="143"/>
      <c r="P26" s="143"/>
      <c r="Q26" s="169"/>
      <c r="R26" s="170"/>
      <c r="S26" s="144"/>
      <c r="T26" s="143"/>
      <c r="U26" s="143"/>
      <c r="V26" s="169"/>
      <c r="W26" s="170"/>
      <c r="X26" s="144"/>
      <c r="Y26" s="143"/>
      <c r="Z26" s="143"/>
      <c r="AA26" s="169"/>
      <c r="AB26" s="170"/>
      <c r="AC26" s="144"/>
      <c r="AD26" s="143"/>
      <c r="AE26" s="143"/>
      <c r="AF26" s="169"/>
      <c r="AG26" s="170"/>
      <c r="AH26" s="144"/>
      <c r="AI26" s="143"/>
      <c r="AJ26" s="143"/>
      <c r="AK26" s="169"/>
      <c r="AL26" s="170"/>
    </row>
    <row r="27" spans="1:38" x14ac:dyDescent="0.25">
      <c r="A27" s="139"/>
      <c r="B27" s="140"/>
      <c r="C27" s="142"/>
      <c r="D27" s="144"/>
      <c r="E27" s="143"/>
      <c r="F27" s="143"/>
      <c r="G27" s="169"/>
      <c r="H27" s="170"/>
      <c r="I27" s="144"/>
      <c r="J27" s="143"/>
      <c r="K27" s="143"/>
      <c r="L27" s="169"/>
      <c r="M27" s="170"/>
      <c r="N27" s="144"/>
      <c r="O27" s="143"/>
      <c r="P27" s="143"/>
      <c r="Q27" s="169"/>
      <c r="R27" s="170"/>
      <c r="S27" s="144"/>
      <c r="T27" s="143"/>
      <c r="U27" s="143"/>
      <c r="V27" s="169"/>
      <c r="W27" s="170"/>
      <c r="X27" s="144"/>
      <c r="Y27" s="143"/>
      <c r="Z27" s="143"/>
      <c r="AA27" s="169"/>
      <c r="AB27" s="170"/>
      <c r="AC27" s="144"/>
      <c r="AD27" s="143"/>
      <c r="AE27" s="143"/>
      <c r="AF27" s="169"/>
      <c r="AG27" s="170"/>
      <c r="AH27" s="144"/>
      <c r="AI27" s="143"/>
      <c r="AJ27" s="143"/>
      <c r="AK27" s="169"/>
      <c r="AL27" s="170"/>
    </row>
    <row r="28" spans="1:38" x14ac:dyDescent="0.25">
      <c r="A28" s="139"/>
      <c r="B28" s="140"/>
      <c r="C28" s="142"/>
      <c r="D28" s="144"/>
      <c r="E28" s="143"/>
      <c r="F28" s="143"/>
      <c r="G28" s="169"/>
      <c r="H28" s="170"/>
      <c r="I28" s="144"/>
      <c r="J28" s="143"/>
      <c r="K28" s="143"/>
      <c r="L28" s="169"/>
      <c r="M28" s="170"/>
      <c r="N28" s="144"/>
      <c r="O28" s="143"/>
      <c r="P28" s="143"/>
      <c r="Q28" s="169"/>
      <c r="R28" s="170"/>
      <c r="S28" s="144"/>
      <c r="T28" s="143"/>
      <c r="U28" s="143"/>
      <c r="V28" s="169"/>
      <c r="W28" s="170"/>
      <c r="X28" s="144"/>
      <c r="Y28" s="143"/>
      <c r="Z28" s="143"/>
      <c r="AA28" s="169"/>
      <c r="AB28" s="170"/>
      <c r="AC28" s="144"/>
      <c r="AD28" s="143"/>
      <c r="AE28" s="143"/>
      <c r="AF28" s="169"/>
      <c r="AG28" s="170"/>
      <c r="AH28" s="144"/>
      <c r="AI28" s="143"/>
      <c r="AJ28" s="143"/>
      <c r="AK28" s="169"/>
      <c r="AL28" s="170"/>
    </row>
    <row r="29" spans="1:38" x14ac:dyDescent="0.25">
      <c r="A29" s="139"/>
      <c r="B29" s="140"/>
      <c r="C29" s="142"/>
      <c r="D29" s="144"/>
      <c r="E29" s="143"/>
      <c r="F29" s="143"/>
      <c r="G29" s="169"/>
      <c r="H29" s="170"/>
      <c r="I29" s="144"/>
      <c r="J29" s="143"/>
      <c r="K29" s="143"/>
      <c r="L29" s="169"/>
      <c r="M29" s="170"/>
      <c r="N29" s="144"/>
      <c r="O29" s="143"/>
      <c r="P29" s="143"/>
      <c r="Q29" s="169"/>
      <c r="R29" s="170"/>
      <c r="S29" s="144"/>
      <c r="T29" s="143"/>
      <c r="U29" s="143"/>
      <c r="V29" s="169"/>
      <c r="W29" s="170"/>
      <c r="X29" s="144"/>
      <c r="Y29" s="143"/>
      <c r="Z29" s="143"/>
      <c r="AA29" s="169"/>
      <c r="AB29" s="170"/>
      <c r="AC29" s="144"/>
      <c r="AD29" s="143"/>
      <c r="AE29" s="143"/>
      <c r="AF29" s="169"/>
      <c r="AG29" s="170"/>
      <c r="AH29" s="144"/>
      <c r="AI29" s="143"/>
      <c r="AJ29" s="143"/>
      <c r="AK29" s="169"/>
      <c r="AL29" s="170"/>
    </row>
    <row r="30" spans="1:38" x14ac:dyDescent="0.25">
      <c r="A30" s="139"/>
      <c r="B30" s="140"/>
      <c r="C30" s="142"/>
      <c r="D30" s="144"/>
      <c r="E30" s="143"/>
      <c r="F30" s="143"/>
      <c r="G30" s="169"/>
      <c r="H30" s="170"/>
      <c r="I30" s="144"/>
      <c r="J30" s="143"/>
      <c r="K30" s="143"/>
      <c r="L30" s="169"/>
      <c r="M30" s="170"/>
      <c r="N30" s="144"/>
      <c r="O30" s="143"/>
      <c r="P30" s="143"/>
      <c r="Q30" s="169"/>
      <c r="R30" s="170"/>
      <c r="S30" s="144"/>
      <c r="T30" s="143"/>
      <c r="U30" s="143"/>
      <c r="V30" s="169"/>
      <c r="W30" s="170"/>
      <c r="X30" s="144"/>
      <c r="Y30" s="143"/>
      <c r="Z30" s="143"/>
      <c r="AA30" s="169"/>
      <c r="AB30" s="170"/>
      <c r="AC30" s="144"/>
      <c r="AD30" s="143"/>
      <c r="AE30" s="143"/>
      <c r="AF30" s="169"/>
      <c r="AG30" s="170"/>
      <c r="AH30" s="144"/>
      <c r="AI30" s="143"/>
      <c r="AJ30" s="143"/>
      <c r="AK30" s="169"/>
      <c r="AL30" s="170"/>
    </row>
    <row r="31" spans="1:38" x14ac:dyDescent="0.25">
      <c r="A31" s="139"/>
      <c r="B31" s="140"/>
      <c r="C31" s="142"/>
      <c r="D31" s="144"/>
      <c r="E31" s="143"/>
      <c r="F31" s="143"/>
      <c r="G31" s="169"/>
      <c r="H31" s="170"/>
      <c r="I31" s="144"/>
      <c r="J31" s="143"/>
      <c r="K31" s="143"/>
      <c r="L31" s="169"/>
      <c r="M31" s="170"/>
      <c r="N31" s="144"/>
      <c r="O31" s="143"/>
      <c r="P31" s="143"/>
      <c r="Q31" s="169"/>
      <c r="R31" s="170"/>
      <c r="S31" s="144"/>
      <c r="T31" s="143"/>
      <c r="U31" s="143"/>
      <c r="V31" s="169"/>
      <c r="W31" s="170"/>
      <c r="X31" s="144"/>
      <c r="Y31" s="143"/>
      <c r="Z31" s="143"/>
      <c r="AA31" s="169"/>
      <c r="AB31" s="170"/>
      <c r="AC31" s="144"/>
      <c r="AD31" s="143"/>
      <c r="AE31" s="143"/>
      <c r="AF31" s="169"/>
      <c r="AG31" s="170"/>
      <c r="AH31" s="144"/>
      <c r="AI31" s="143"/>
      <c r="AJ31" s="143"/>
      <c r="AK31" s="169"/>
      <c r="AL31" s="170"/>
    </row>
    <row r="32" spans="1:38" x14ac:dyDescent="0.25">
      <c r="A32" s="139"/>
      <c r="B32" s="140"/>
      <c r="C32" s="142"/>
      <c r="D32" s="144"/>
      <c r="E32" s="143"/>
      <c r="F32" s="143"/>
      <c r="G32" s="169"/>
      <c r="H32" s="170"/>
      <c r="I32" s="144"/>
      <c r="J32" s="143"/>
      <c r="K32" s="143"/>
      <c r="L32" s="169"/>
      <c r="M32" s="170"/>
      <c r="N32" s="144"/>
      <c r="O32" s="143"/>
      <c r="P32" s="143"/>
      <c r="Q32" s="169"/>
      <c r="R32" s="170"/>
      <c r="S32" s="144"/>
      <c r="T32" s="143"/>
      <c r="U32" s="143"/>
      <c r="V32" s="169"/>
      <c r="W32" s="170"/>
      <c r="X32" s="144"/>
      <c r="Y32" s="143"/>
      <c r="Z32" s="143"/>
      <c r="AA32" s="169"/>
      <c r="AB32" s="170"/>
      <c r="AC32" s="144"/>
      <c r="AD32" s="143"/>
      <c r="AE32" s="143"/>
      <c r="AF32" s="169"/>
      <c r="AG32" s="170"/>
      <c r="AH32" s="144"/>
      <c r="AI32" s="143"/>
      <c r="AJ32" s="143"/>
      <c r="AK32" s="169"/>
      <c r="AL32" s="170"/>
    </row>
    <row r="33" spans="1:38" x14ac:dyDescent="0.25">
      <c r="A33" s="139"/>
      <c r="B33" s="140"/>
      <c r="C33" s="142"/>
      <c r="D33" s="144"/>
      <c r="E33" s="143"/>
      <c r="F33" s="143"/>
      <c r="G33" s="169"/>
      <c r="H33" s="170"/>
      <c r="I33" s="144"/>
      <c r="J33" s="143"/>
      <c r="K33" s="143"/>
      <c r="L33" s="169"/>
      <c r="M33" s="170"/>
      <c r="N33" s="144"/>
      <c r="O33" s="143"/>
      <c r="P33" s="143"/>
      <c r="Q33" s="169"/>
      <c r="R33" s="170"/>
      <c r="S33" s="144"/>
      <c r="T33" s="143"/>
      <c r="U33" s="143"/>
      <c r="V33" s="169"/>
      <c r="W33" s="170"/>
      <c r="X33" s="144"/>
      <c r="Y33" s="143"/>
      <c r="Z33" s="143"/>
      <c r="AA33" s="169"/>
      <c r="AB33" s="170"/>
      <c r="AC33" s="144"/>
      <c r="AD33" s="143"/>
      <c r="AE33" s="143"/>
      <c r="AF33" s="169"/>
      <c r="AG33" s="170"/>
      <c r="AH33" s="144"/>
      <c r="AI33" s="143"/>
      <c r="AJ33" s="143"/>
      <c r="AK33" s="169"/>
      <c r="AL33" s="170"/>
    </row>
    <row r="34" spans="1:38" x14ac:dyDescent="0.25">
      <c r="A34" s="139"/>
      <c r="B34" s="140"/>
      <c r="C34" s="142"/>
      <c r="D34" s="144"/>
      <c r="E34" s="143"/>
      <c r="F34" s="143"/>
      <c r="G34" s="169"/>
      <c r="H34" s="170"/>
      <c r="I34" s="144"/>
      <c r="J34" s="143"/>
      <c r="K34" s="143"/>
      <c r="L34" s="169"/>
      <c r="M34" s="170"/>
      <c r="N34" s="144"/>
      <c r="O34" s="143"/>
      <c r="P34" s="143"/>
      <c r="Q34" s="169"/>
      <c r="R34" s="170"/>
      <c r="S34" s="144"/>
      <c r="T34" s="143"/>
      <c r="U34" s="143"/>
      <c r="V34" s="169"/>
      <c r="W34" s="170"/>
      <c r="X34" s="144"/>
      <c r="Y34" s="143"/>
      <c r="Z34" s="143"/>
      <c r="AA34" s="169"/>
      <c r="AB34" s="170"/>
      <c r="AC34" s="144"/>
      <c r="AD34" s="143"/>
      <c r="AE34" s="143"/>
      <c r="AF34" s="169"/>
      <c r="AG34" s="170"/>
      <c r="AH34" s="144"/>
      <c r="AI34" s="143"/>
      <c r="AJ34" s="143"/>
      <c r="AK34" s="169"/>
      <c r="AL34" s="170"/>
    </row>
    <row r="35" spans="1:38" x14ac:dyDescent="0.25">
      <c r="A35" s="139"/>
      <c r="B35" s="140"/>
      <c r="C35" s="142"/>
      <c r="D35" s="144"/>
      <c r="E35" s="143"/>
      <c r="F35" s="143"/>
      <c r="G35" s="169"/>
      <c r="H35" s="170"/>
      <c r="I35" s="144"/>
      <c r="J35" s="143"/>
      <c r="K35" s="143"/>
      <c r="L35" s="169"/>
      <c r="M35" s="170"/>
      <c r="N35" s="144"/>
      <c r="O35" s="143"/>
      <c r="P35" s="143"/>
      <c r="Q35" s="169"/>
      <c r="R35" s="170"/>
      <c r="S35" s="144"/>
      <c r="T35" s="143"/>
      <c r="U35" s="143"/>
      <c r="V35" s="169"/>
      <c r="W35" s="170"/>
      <c r="X35" s="144"/>
      <c r="Y35" s="143"/>
      <c r="Z35" s="143"/>
      <c r="AA35" s="169"/>
      <c r="AB35" s="170"/>
      <c r="AC35" s="144"/>
      <c r="AD35" s="143"/>
      <c r="AE35" s="143"/>
      <c r="AF35" s="169"/>
      <c r="AG35" s="170"/>
      <c r="AH35" s="144"/>
      <c r="AI35" s="143"/>
      <c r="AJ35" s="143"/>
      <c r="AK35" s="169"/>
      <c r="AL35" s="170"/>
    </row>
    <row r="36" spans="1:38" x14ac:dyDescent="0.25">
      <c r="A36" s="139"/>
      <c r="B36" s="140"/>
      <c r="C36" s="142"/>
      <c r="D36" s="144"/>
      <c r="E36" s="143"/>
      <c r="F36" s="143"/>
      <c r="G36" s="169"/>
      <c r="H36" s="170"/>
      <c r="I36" s="144"/>
      <c r="J36" s="143"/>
      <c r="K36" s="143"/>
      <c r="L36" s="169"/>
      <c r="M36" s="170"/>
      <c r="N36" s="144"/>
      <c r="O36" s="143"/>
      <c r="P36" s="143"/>
      <c r="Q36" s="169"/>
      <c r="R36" s="170"/>
      <c r="S36" s="144"/>
      <c r="T36" s="143"/>
      <c r="U36" s="143"/>
      <c r="V36" s="169"/>
      <c r="W36" s="170"/>
      <c r="X36" s="144"/>
      <c r="Y36" s="143"/>
      <c r="Z36" s="143"/>
      <c r="AA36" s="169"/>
      <c r="AB36" s="170"/>
      <c r="AC36" s="144"/>
      <c r="AD36" s="143"/>
      <c r="AE36" s="143"/>
      <c r="AF36" s="169"/>
      <c r="AG36" s="170"/>
      <c r="AH36" s="144"/>
      <c r="AI36" s="143"/>
      <c r="AJ36" s="143"/>
      <c r="AK36" s="169"/>
      <c r="AL36" s="170"/>
    </row>
    <row r="37" spans="1:38" x14ac:dyDescent="0.25">
      <c r="A37" s="139"/>
      <c r="B37" s="140"/>
      <c r="C37" s="142"/>
      <c r="D37" s="144"/>
      <c r="E37" s="143"/>
      <c r="F37" s="143"/>
      <c r="G37" s="169"/>
      <c r="H37" s="170"/>
      <c r="I37" s="144"/>
      <c r="J37" s="143"/>
      <c r="K37" s="143"/>
      <c r="L37" s="169"/>
      <c r="M37" s="170"/>
      <c r="N37" s="144"/>
      <c r="O37" s="143"/>
      <c r="P37" s="143"/>
      <c r="Q37" s="169"/>
      <c r="R37" s="170"/>
      <c r="S37" s="144"/>
      <c r="T37" s="143"/>
      <c r="U37" s="143"/>
      <c r="V37" s="169"/>
      <c r="W37" s="170"/>
      <c r="X37" s="144"/>
      <c r="Y37" s="143"/>
      <c r="Z37" s="143"/>
      <c r="AA37" s="169"/>
      <c r="AB37" s="170"/>
      <c r="AC37" s="144"/>
      <c r="AD37" s="143"/>
      <c r="AE37" s="143"/>
      <c r="AF37" s="169"/>
      <c r="AG37" s="170"/>
      <c r="AH37" s="144"/>
      <c r="AI37" s="143"/>
      <c r="AJ37" s="143"/>
      <c r="AK37" s="169"/>
      <c r="AL37" s="170"/>
    </row>
    <row r="38" spans="1:38" x14ac:dyDescent="0.25">
      <c r="A38" s="139"/>
      <c r="B38" s="140"/>
      <c r="C38" s="142"/>
      <c r="D38" s="144"/>
      <c r="E38" s="143"/>
      <c r="F38" s="143"/>
      <c r="G38" s="169"/>
      <c r="H38" s="170"/>
      <c r="I38" s="144"/>
      <c r="J38" s="143"/>
      <c r="K38" s="143"/>
      <c r="L38" s="169"/>
      <c r="M38" s="170"/>
      <c r="N38" s="144"/>
      <c r="O38" s="143"/>
      <c r="P38" s="143"/>
      <c r="Q38" s="169"/>
      <c r="R38" s="170"/>
      <c r="S38" s="144"/>
      <c r="T38" s="143"/>
      <c r="U38" s="143"/>
      <c r="V38" s="169"/>
      <c r="W38" s="170"/>
      <c r="X38" s="144"/>
      <c r="Y38" s="143"/>
      <c r="Z38" s="143"/>
      <c r="AA38" s="169"/>
      <c r="AB38" s="170"/>
      <c r="AC38" s="144"/>
      <c r="AD38" s="143"/>
      <c r="AE38" s="143"/>
      <c r="AF38" s="169"/>
      <c r="AG38" s="170"/>
      <c r="AH38" s="144"/>
      <c r="AI38" s="143"/>
      <c r="AJ38" s="143"/>
      <c r="AK38" s="169"/>
      <c r="AL38" s="170"/>
    </row>
    <row r="39" spans="1:38" x14ac:dyDescent="0.25">
      <c r="A39" s="139"/>
      <c r="B39" s="140"/>
      <c r="C39" s="142"/>
      <c r="D39" s="144"/>
      <c r="E39" s="143"/>
      <c r="F39" s="143"/>
      <c r="G39" s="169"/>
      <c r="H39" s="170"/>
      <c r="I39" s="144"/>
      <c r="J39" s="143"/>
      <c r="K39" s="143"/>
      <c r="L39" s="169"/>
      <c r="M39" s="170"/>
      <c r="N39" s="144"/>
      <c r="O39" s="143"/>
      <c r="P39" s="143"/>
      <c r="Q39" s="169"/>
      <c r="R39" s="170"/>
      <c r="S39" s="144"/>
      <c r="T39" s="143"/>
      <c r="U39" s="143"/>
      <c r="V39" s="169"/>
      <c r="W39" s="170"/>
      <c r="X39" s="144"/>
      <c r="Y39" s="143"/>
      <c r="Z39" s="143"/>
      <c r="AA39" s="169"/>
      <c r="AB39" s="170"/>
      <c r="AC39" s="144"/>
      <c r="AD39" s="143"/>
      <c r="AE39" s="143"/>
      <c r="AF39" s="169"/>
      <c r="AG39" s="170"/>
      <c r="AH39" s="144"/>
      <c r="AI39" s="143"/>
      <c r="AJ39" s="143"/>
      <c r="AK39" s="169"/>
      <c r="AL39" s="170"/>
    </row>
    <row r="40" spans="1:38" x14ac:dyDescent="0.25">
      <c r="A40" s="139"/>
      <c r="B40" s="140"/>
      <c r="C40" s="142"/>
      <c r="D40" s="144"/>
      <c r="E40" s="143"/>
      <c r="F40" s="143"/>
      <c r="G40" s="169"/>
      <c r="H40" s="170"/>
      <c r="I40" s="144"/>
      <c r="J40" s="143"/>
      <c r="K40" s="143"/>
      <c r="L40" s="169"/>
      <c r="M40" s="170"/>
      <c r="N40" s="144"/>
      <c r="O40" s="143"/>
      <c r="P40" s="143"/>
      <c r="Q40" s="169"/>
      <c r="R40" s="170"/>
      <c r="S40" s="144"/>
      <c r="T40" s="143"/>
      <c r="U40" s="143"/>
      <c r="V40" s="169"/>
      <c r="W40" s="170"/>
      <c r="X40" s="144"/>
      <c r="Y40" s="143"/>
      <c r="Z40" s="143"/>
      <c r="AA40" s="169"/>
      <c r="AB40" s="170"/>
      <c r="AC40" s="144"/>
      <c r="AD40" s="143"/>
      <c r="AE40" s="143"/>
      <c r="AF40" s="169"/>
      <c r="AG40" s="170"/>
      <c r="AH40" s="144"/>
      <c r="AI40" s="143"/>
      <c r="AJ40" s="143"/>
      <c r="AK40" s="169"/>
      <c r="AL40" s="170"/>
    </row>
    <row r="41" spans="1:38" x14ac:dyDescent="0.25">
      <c r="A41" s="139"/>
      <c r="B41" s="140"/>
      <c r="C41" s="142"/>
      <c r="D41" s="144"/>
      <c r="E41" s="143"/>
      <c r="F41" s="143"/>
      <c r="G41" s="169"/>
      <c r="H41" s="170"/>
      <c r="I41" s="144"/>
      <c r="J41" s="143"/>
      <c r="K41" s="143"/>
      <c r="L41" s="169"/>
      <c r="M41" s="170"/>
      <c r="N41" s="144"/>
      <c r="O41" s="143"/>
      <c r="P41" s="143"/>
      <c r="Q41" s="169"/>
      <c r="R41" s="170"/>
      <c r="S41" s="144"/>
      <c r="T41" s="143"/>
      <c r="U41" s="143"/>
      <c r="V41" s="169"/>
      <c r="W41" s="170"/>
      <c r="X41" s="144"/>
      <c r="Y41" s="143"/>
      <c r="Z41" s="143"/>
      <c r="AA41" s="169"/>
      <c r="AB41" s="170"/>
      <c r="AC41" s="144"/>
      <c r="AD41" s="143"/>
      <c r="AE41" s="143"/>
      <c r="AF41" s="169"/>
      <c r="AG41" s="170"/>
      <c r="AH41" s="144"/>
      <c r="AI41" s="143"/>
      <c r="AJ41" s="143"/>
      <c r="AK41" s="169"/>
      <c r="AL41" s="170"/>
    </row>
    <row r="42" spans="1:38" x14ac:dyDescent="0.25">
      <c r="A42" s="139"/>
      <c r="B42" s="140"/>
      <c r="C42" s="142"/>
      <c r="D42" s="144"/>
      <c r="E42" s="143"/>
      <c r="F42" s="143"/>
      <c r="G42" s="169"/>
      <c r="H42" s="170"/>
      <c r="I42" s="144"/>
      <c r="J42" s="143"/>
      <c r="K42" s="143"/>
      <c r="L42" s="169"/>
      <c r="M42" s="170"/>
      <c r="N42" s="144"/>
      <c r="O42" s="143"/>
      <c r="P42" s="143"/>
      <c r="Q42" s="169"/>
      <c r="R42" s="170"/>
      <c r="S42" s="144"/>
      <c r="T42" s="143"/>
      <c r="U42" s="143"/>
      <c r="V42" s="169"/>
      <c r="W42" s="170"/>
      <c r="X42" s="144"/>
      <c r="Y42" s="143"/>
      <c r="Z42" s="143"/>
      <c r="AA42" s="169"/>
      <c r="AB42" s="170"/>
      <c r="AC42" s="144"/>
      <c r="AD42" s="143"/>
      <c r="AE42" s="143"/>
      <c r="AF42" s="169"/>
      <c r="AG42" s="170"/>
      <c r="AH42" s="144"/>
      <c r="AI42" s="143"/>
      <c r="AJ42" s="143"/>
      <c r="AK42" s="169"/>
      <c r="AL42" s="170"/>
    </row>
    <row r="43" spans="1:38" x14ac:dyDescent="0.25">
      <c r="A43" s="139"/>
      <c r="B43" s="140"/>
      <c r="C43" s="142"/>
      <c r="D43" s="144"/>
      <c r="E43" s="143"/>
      <c r="F43" s="143"/>
      <c r="G43" s="169"/>
      <c r="H43" s="170"/>
      <c r="I43" s="144"/>
      <c r="J43" s="143"/>
      <c r="K43" s="143"/>
      <c r="L43" s="169"/>
      <c r="M43" s="170"/>
      <c r="N43" s="144"/>
      <c r="O43" s="143"/>
      <c r="P43" s="143"/>
      <c r="Q43" s="169"/>
      <c r="R43" s="170"/>
      <c r="S43" s="144"/>
      <c r="T43" s="143"/>
      <c r="U43" s="143"/>
      <c r="V43" s="169"/>
      <c r="W43" s="170"/>
      <c r="X43" s="144"/>
      <c r="Y43" s="143"/>
      <c r="Z43" s="143"/>
      <c r="AA43" s="169"/>
      <c r="AB43" s="170"/>
      <c r="AC43" s="144"/>
      <c r="AD43" s="143"/>
      <c r="AE43" s="143"/>
      <c r="AF43" s="169"/>
      <c r="AG43" s="170"/>
      <c r="AH43" s="144"/>
      <c r="AI43" s="143"/>
      <c r="AJ43" s="143"/>
      <c r="AK43" s="169"/>
      <c r="AL43" s="170"/>
    </row>
    <row r="44" spans="1:38" x14ac:dyDescent="0.25">
      <c r="A44" s="139"/>
      <c r="B44" s="140"/>
      <c r="C44" s="142"/>
      <c r="D44" s="144"/>
      <c r="E44" s="143"/>
      <c r="F44" s="143"/>
      <c r="G44" s="169"/>
      <c r="H44" s="170"/>
      <c r="I44" s="144"/>
      <c r="J44" s="143"/>
      <c r="K44" s="143"/>
      <c r="L44" s="169"/>
      <c r="M44" s="170"/>
      <c r="N44" s="144"/>
      <c r="O44" s="143"/>
      <c r="P44" s="143"/>
      <c r="Q44" s="169"/>
      <c r="R44" s="170"/>
      <c r="S44" s="144"/>
      <c r="T44" s="143"/>
      <c r="U44" s="143"/>
      <c r="V44" s="169"/>
      <c r="W44" s="170"/>
      <c r="X44" s="144"/>
      <c r="Y44" s="143"/>
      <c r="Z44" s="143"/>
      <c r="AA44" s="169"/>
      <c r="AB44" s="170"/>
      <c r="AC44" s="144"/>
      <c r="AD44" s="143"/>
      <c r="AE44" s="143"/>
      <c r="AF44" s="169"/>
      <c r="AG44" s="170"/>
      <c r="AH44" s="144"/>
      <c r="AI44" s="143"/>
      <c r="AJ44" s="143"/>
      <c r="AK44" s="169"/>
      <c r="AL44" s="170"/>
    </row>
    <row r="45" spans="1:38" x14ac:dyDescent="0.25">
      <c r="A45" s="139"/>
      <c r="B45" s="140"/>
      <c r="C45" s="142"/>
      <c r="D45" s="144"/>
      <c r="E45" s="143"/>
      <c r="F45" s="143"/>
      <c r="G45" s="169"/>
      <c r="H45" s="170"/>
      <c r="I45" s="144"/>
      <c r="J45" s="143"/>
      <c r="K45" s="143"/>
      <c r="L45" s="169"/>
      <c r="M45" s="170"/>
      <c r="N45" s="144"/>
      <c r="O45" s="143"/>
      <c r="P45" s="143"/>
      <c r="Q45" s="169"/>
      <c r="R45" s="170"/>
      <c r="S45" s="144"/>
      <c r="T45" s="143"/>
      <c r="U45" s="143"/>
      <c r="V45" s="169"/>
      <c r="W45" s="170"/>
      <c r="X45" s="144"/>
      <c r="Y45" s="143"/>
      <c r="Z45" s="143"/>
      <c r="AA45" s="169"/>
      <c r="AB45" s="170"/>
      <c r="AC45" s="144"/>
      <c r="AD45" s="143"/>
      <c r="AE45" s="143"/>
      <c r="AF45" s="169"/>
      <c r="AG45" s="170"/>
      <c r="AH45" s="144"/>
      <c r="AI45" s="143"/>
      <c r="AJ45" s="143"/>
      <c r="AK45" s="169"/>
      <c r="AL45" s="170"/>
    </row>
    <row r="46" spans="1:38" x14ac:dyDescent="0.25">
      <c r="A46" s="139"/>
      <c r="B46" s="140"/>
      <c r="C46" s="142"/>
      <c r="D46" s="144"/>
      <c r="E46" s="143"/>
      <c r="F46" s="143"/>
      <c r="G46" s="169"/>
      <c r="H46" s="170"/>
      <c r="I46" s="144"/>
      <c r="J46" s="143"/>
      <c r="K46" s="143"/>
      <c r="L46" s="169"/>
      <c r="M46" s="170"/>
      <c r="N46" s="144"/>
      <c r="O46" s="143"/>
      <c r="P46" s="143"/>
      <c r="Q46" s="169"/>
      <c r="R46" s="170"/>
      <c r="S46" s="144"/>
      <c r="T46" s="143"/>
      <c r="U46" s="143"/>
      <c r="V46" s="169"/>
      <c r="W46" s="170"/>
      <c r="X46" s="144"/>
      <c r="Y46" s="143"/>
      <c r="Z46" s="143"/>
      <c r="AA46" s="169"/>
      <c r="AB46" s="170"/>
      <c r="AC46" s="144"/>
      <c r="AD46" s="143"/>
      <c r="AE46" s="143"/>
      <c r="AF46" s="169"/>
      <c r="AG46" s="170"/>
      <c r="AH46" s="144"/>
      <c r="AI46" s="143"/>
      <c r="AJ46" s="143"/>
      <c r="AK46" s="169"/>
      <c r="AL46" s="170"/>
    </row>
    <row r="47" spans="1:38" x14ac:dyDescent="0.25">
      <c r="A47" s="139"/>
      <c r="B47" s="140"/>
      <c r="C47" s="142"/>
      <c r="D47" s="144"/>
      <c r="E47" s="143"/>
      <c r="F47" s="143"/>
      <c r="G47" s="169"/>
      <c r="H47" s="170"/>
      <c r="I47" s="144"/>
      <c r="J47" s="143"/>
      <c r="K47" s="143"/>
      <c r="L47" s="169"/>
      <c r="M47" s="170"/>
      <c r="N47" s="144"/>
      <c r="O47" s="143"/>
      <c r="P47" s="143"/>
      <c r="Q47" s="169"/>
      <c r="R47" s="170"/>
      <c r="S47" s="144"/>
      <c r="T47" s="143"/>
      <c r="U47" s="143"/>
      <c r="V47" s="169"/>
      <c r="W47" s="170"/>
      <c r="X47" s="144"/>
      <c r="Y47" s="143"/>
      <c r="Z47" s="143"/>
      <c r="AA47" s="169"/>
      <c r="AB47" s="170"/>
      <c r="AC47" s="144"/>
      <c r="AD47" s="143"/>
      <c r="AE47" s="143"/>
      <c r="AF47" s="169"/>
      <c r="AG47" s="170"/>
      <c r="AH47" s="144"/>
      <c r="AI47" s="143"/>
      <c r="AJ47" s="143"/>
      <c r="AK47" s="169"/>
      <c r="AL47" s="170"/>
    </row>
    <row r="48" spans="1:38" x14ac:dyDescent="0.25">
      <c r="A48" s="139"/>
      <c r="B48" s="140"/>
      <c r="C48" s="142"/>
      <c r="D48" s="144"/>
      <c r="E48" s="143"/>
      <c r="F48" s="143"/>
      <c r="G48" s="169"/>
      <c r="H48" s="170"/>
      <c r="I48" s="144"/>
      <c r="J48" s="143"/>
      <c r="K48" s="143"/>
      <c r="L48" s="169"/>
      <c r="M48" s="170"/>
      <c r="N48" s="144"/>
      <c r="O48" s="143"/>
      <c r="P48" s="143"/>
      <c r="Q48" s="169"/>
      <c r="R48" s="170"/>
      <c r="S48" s="144"/>
      <c r="T48" s="143"/>
      <c r="U48" s="143"/>
      <c r="V48" s="169"/>
      <c r="W48" s="170"/>
      <c r="X48" s="144"/>
      <c r="Y48" s="143"/>
      <c r="Z48" s="143"/>
      <c r="AA48" s="169"/>
      <c r="AB48" s="170"/>
      <c r="AC48" s="144"/>
      <c r="AD48" s="143"/>
      <c r="AE48" s="143"/>
      <c r="AF48" s="169"/>
      <c r="AG48" s="170"/>
      <c r="AH48" s="144"/>
      <c r="AI48" s="143"/>
      <c r="AJ48" s="143"/>
      <c r="AK48" s="169"/>
      <c r="AL48" s="170"/>
    </row>
    <row r="49" spans="1:38" x14ac:dyDescent="0.25">
      <c r="A49" s="139"/>
      <c r="B49" s="140"/>
      <c r="C49" s="142"/>
      <c r="D49" s="144"/>
      <c r="E49" s="143"/>
      <c r="F49" s="143"/>
      <c r="G49" s="169"/>
      <c r="H49" s="170"/>
      <c r="I49" s="144"/>
      <c r="J49" s="143"/>
      <c r="K49" s="143"/>
      <c r="L49" s="169"/>
      <c r="M49" s="170"/>
      <c r="N49" s="144"/>
      <c r="O49" s="143"/>
      <c r="P49" s="143"/>
      <c r="Q49" s="169"/>
      <c r="R49" s="170"/>
      <c r="S49" s="144"/>
      <c r="T49" s="143"/>
      <c r="U49" s="143"/>
      <c r="V49" s="169"/>
      <c r="W49" s="170"/>
      <c r="X49" s="144"/>
      <c r="Y49" s="143"/>
      <c r="Z49" s="143"/>
      <c r="AA49" s="169"/>
      <c r="AB49" s="170"/>
      <c r="AC49" s="144"/>
      <c r="AD49" s="143"/>
      <c r="AE49" s="143"/>
      <c r="AF49" s="169"/>
      <c r="AG49" s="170"/>
      <c r="AH49" s="144"/>
      <c r="AI49" s="143"/>
      <c r="AJ49" s="143"/>
      <c r="AK49" s="169"/>
      <c r="AL49" s="170"/>
    </row>
    <row r="50" spans="1:38" x14ac:dyDescent="0.25">
      <c r="A50" s="139"/>
      <c r="B50" s="140"/>
      <c r="C50" s="142"/>
      <c r="D50" s="144"/>
      <c r="E50" s="143"/>
      <c r="F50" s="143"/>
      <c r="G50" s="169"/>
      <c r="H50" s="170"/>
      <c r="I50" s="144"/>
      <c r="J50" s="143"/>
      <c r="K50" s="143"/>
      <c r="L50" s="169"/>
      <c r="M50" s="170"/>
      <c r="N50" s="144"/>
      <c r="O50" s="143"/>
      <c r="P50" s="143"/>
      <c r="Q50" s="169"/>
      <c r="R50" s="170"/>
      <c r="S50" s="144"/>
      <c r="T50" s="143"/>
      <c r="U50" s="143"/>
      <c r="V50" s="169"/>
      <c r="W50" s="170"/>
      <c r="X50" s="144"/>
      <c r="Y50" s="143"/>
      <c r="Z50" s="143"/>
      <c r="AA50" s="169"/>
      <c r="AB50" s="170"/>
      <c r="AC50" s="144"/>
      <c r="AD50" s="143"/>
      <c r="AE50" s="143"/>
      <c r="AF50" s="169"/>
      <c r="AG50" s="170"/>
      <c r="AH50" s="144"/>
      <c r="AI50" s="143"/>
      <c r="AJ50" s="143"/>
      <c r="AK50" s="169"/>
      <c r="AL50" s="170"/>
    </row>
    <row r="51" spans="1:38" x14ac:dyDescent="0.25">
      <c r="A51" s="139"/>
      <c r="B51" s="140"/>
      <c r="C51" s="142"/>
      <c r="D51" s="144"/>
      <c r="E51" s="143"/>
      <c r="F51" s="143"/>
      <c r="G51" s="169"/>
      <c r="H51" s="170"/>
      <c r="I51" s="144"/>
      <c r="J51" s="143"/>
      <c r="K51" s="143"/>
      <c r="L51" s="169"/>
      <c r="M51" s="170"/>
      <c r="N51" s="144"/>
      <c r="O51" s="143"/>
      <c r="P51" s="143"/>
      <c r="Q51" s="169"/>
      <c r="R51" s="170"/>
      <c r="S51" s="144"/>
      <c r="T51" s="143"/>
      <c r="U51" s="143"/>
      <c r="V51" s="169"/>
      <c r="W51" s="170"/>
      <c r="X51" s="144"/>
      <c r="Y51" s="143"/>
      <c r="Z51" s="143"/>
      <c r="AA51" s="169"/>
      <c r="AB51" s="170"/>
      <c r="AC51" s="144"/>
      <c r="AD51" s="143"/>
      <c r="AE51" s="143"/>
      <c r="AF51" s="169"/>
      <c r="AG51" s="170"/>
      <c r="AH51" s="144"/>
      <c r="AI51" s="143"/>
      <c r="AJ51" s="143"/>
      <c r="AK51" s="169"/>
      <c r="AL51" s="170"/>
    </row>
    <row r="52" spans="1:38" x14ac:dyDescent="0.25">
      <c r="A52" s="139"/>
      <c r="B52" s="140"/>
      <c r="C52" s="142"/>
      <c r="D52" s="144"/>
      <c r="E52" s="143"/>
      <c r="F52" s="143"/>
      <c r="G52" s="169"/>
      <c r="H52" s="170"/>
      <c r="I52" s="144"/>
      <c r="J52" s="143"/>
      <c r="K52" s="143"/>
      <c r="L52" s="169"/>
      <c r="M52" s="170"/>
      <c r="N52" s="144"/>
      <c r="O52" s="143"/>
      <c r="P52" s="143"/>
      <c r="Q52" s="169"/>
      <c r="R52" s="170"/>
      <c r="S52" s="144"/>
      <c r="T52" s="143"/>
      <c r="U52" s="143"/>
      <c r="V52" s="169"/>
      <c r="W52" s="170"/>
      <c r="X52" s="144"/>
      <c r="Y52" s="143"/>
      <c r="Z52" s="143"/>
      <c r="AA52" s="169"/>
      <c r="AB52" s="170"/>
      <c r="AC52" s="144"/>
      <c r="AD52" s="143"/>
      <c r="AE52" s="143"/>
      <c r="AF52" s="169"/>
      <c r="AG52" s="170"/>
      <c r="AH52" s="144"/>
      <c r="AI52" s="143"/>
      <c r="AJ52" s="143"/>
      <c r="AK52" s="169"/>
      <c r="AL52" s="170"/>
    </row>
    <row r="53" spans="1:38" x14ac:dyDescent="0.25">
      <c r="A53" s="139"/>
      <c r="B53" s="140"/>
      <c r="C53" s="142"/>
      <c r="D53" s="144"/>
      <c r="E53" s="143"/>
      <c r="F53" s="143"/>
      <c r="G53" s="169"/>
      <c r="H53" s="170"/>
      <c r="I53" s="144"/>
      <c r="J53" s="143"/>
      <c r="K53" s="143"/>
      <c r="L53" s="169"/>
      <c r="M53" s="170"/>
      <c r="N53" s="144"/>
      <c r="O53" s="143"/>
      <c r="P53" s="143"/>
      <c r="Q53" s="169"/>
      <c r="R53" s="170"/>
      <c r="S53" s="144"/>
      <c r="T53" s="143"/>
      <c r="U53" s="143"/>
      <c r="V53" s="169"/>
      <c r="W53" s="170"/>
      <c r="X53" s="144"/>
      <c r="Y53" s="143"/>
      <c r="Z53" s="143"/>
      <c r="AA53" s="169"/>
      <c r="AB53" s="170"/>
      <c r="AC53" s="144"/>
      <c r="AD53" s="143"/>
      <c r="AE53" s="143"/>
      <c r="AF53" s="169"/>
      <c r="AG53" s="170"/>
      <c r="AH53" s="144"/>
      <c r="AI53" s="143"/>
      <c r="AJ53" s="143"/>
      <c r="AK53" s="169"/>
      <c r="AL53" s="170"/>
    </row>
    <row r="54" spans="1:38" x14ac:dyDescent="0.25">
      <c r="A54" s="139"/>
      <c r="B54" s="140"/>
      <c r="C54" s="142"/>
      <c r="D54" s="144"/>
      <c r="E54" s="143"/>
      <c r="F54" s="143"/>
      <c r="G54" s="169"/>
      <c r="H54" s="170"/>
      <c r="I54" s="144"/>
      <c r="J54" s="143"/>
      <c r="K54" s="143"/>
      <c r="L54" s="169"/>
      <c r="M54" s="170"/>
      <c r="N54" s="144"/>
      <c r="O54" s="143"/>
      <c r="P54" s="143"/>
      <c r="Q54" s="169"/>
      <c r="R54" s="170"/>
      <c r="S54" s="144"/>
      <c r="T54" s="143"/>
      <c r="U54" s="143"/>
      <c r="V54" s="169"/>
      <c r="W54" s="170"/>
      <c r="X54" s="144"/>
      <c r="Y54" s="143"/>
      <c r="Z54" s="143"/>
      <c r="AA54" s="169"/>
      <c r="AB54" s="170"/>
      <c r="AC54" s="144"/>
      <c r="AD54" s="143"/>
      <c r="AE54" s="143"/>
      <c r="AF54" s="169"/>
      <c r="AG54" s="170"/>
      <c r="AH54" s="144"/>
      <c r="AI54" s="143"/>
      <c r="AJ54" s="143"/>
      <c r="AK54" s="169"/>
      <c r="AL54" s="170"/>
    </row>
    <row r="55" spans="1:38" x14ac:dyDescent="0.25">
      <c r="A55" s="139"/>
      <c r="B55" s="140"/>
      <c r="C55" s="142"/>
      <c r="D55" s="144"/>
      <c r="E55" s="143"/>
      <c r="F55" s="143"/>
      <c r="G55" s="169"/>
      <c r="H55" s="170"/>
      <c r="I55" s="144"/>
      <c r="J55" s="143"/>
      <c r="K55" s="143"/>
      <c r="L55" s="169"/>
      <c r="M55" s="170"/>
      <c r="N55" s="144"/>
      <c r="O55" s="143"/>
      <c r="P55" s="143"/>
      <c r="Q55" s="169"/>
      <c r="R55" s="170"/>
      <c r="S55" s="144"/>
      <c r="T55" s="143"/>
      <c r="U55" s="143"/>
      <c r="V55" s="169"/>
      <c r="W55" s="170"/>
      <c r="X55" s="144"/>
      <c r="Y55" s="143"/>
      <c r="Z55" s="143"/>
      <c r="AA55" s="169"/>
      <c r="AB55" s="170"/>
      <c r="AC55" s="144"/>
      <c r="AD55" s="143"/>
      <c r="AE55" s="143"/>
      <c r="AF55" s="169"/>
      <c r="AG55" s="170"/>
      <c r="AH55" s="144"/>
      <c r="AI55" s="143"/>
      <c r="AJ55" s="143"/>
      <c r="AK55" s="169"/>
      <c r="AL55" s="170"/>
    </row>
    <row r="56" spans="1:38" x14ac:dyDescent="0.25">
      <c r="A56" s="139"/>
      <c r="B56" s="140"/>
      <c r="C56" s="142"/>
      <c r="D56" s="144"/>
      <c r="E56" s="143"/>
      <c r="F56" s="143"/>
      <c r="G56" s="169"/>
      <c r="H56" s="170"/>
      <c r="I56" s="144"/>
      <c r="J56" s="143"/>
      <c r="K56" s="143"/>
      <c r="L56" s="169"/>
      <c r="M56" s="170"/>
      <c r="N56" s="144"/>
      <c r="O56" s="143"/>
      <c r="P56" s="143"/>
      <c r="Q56" s="169"/>
      <c r="R56" s="170"/>
      <c r="S56" s="144"/>
      <c r="T56" s="143"/>
      <c r="U56" s="143"/>
      <c r="V56" s="169"/>
      <c r="W56" s="170"/>
      <c r="X56" s="144"/>
      <c r="Y56" s="143"/>
      <c r="Z56" s="143"/>
      <c r="AA56" s="169"/>
      <c r="AB56" s="170"/>
      <c r="AC56" s="144"/>
      <c r="AD56" s="143"/>
      <c r="AE56" s="143"/>
      <c r="AF56" s="169"/>
      <c r="AG56" s="170"/>
      <c r="AH56" s="144"/>
      <c r="AI56" s="143"/>
      <c r="AJ56" s="143"/>
      <c r="AK56" s="169"/>
      <c r="AL56" s="170"/>
    </row>
    <row r="57" spans="1:38" x14ac:dyDescent="0.25">
      <c r="A57" s="139"/>
      <c r="B57" s="140"/>
      <c r="C57" s="142"/>
      <c r="D57" s="144"/>
      <c r="E57" s="143"/>
      <c r="F57" s="143"/>
      <c r="G57" s="169"/>
      <c r="H57" s="170"/>
      <c r="I57" s="144"/>
      <c r="J57" s="143"/>
      <c r="K57" s="143"/>
      <c r="L57" s="169"/>
      <c r="M57" s="170"/>
      <c r="N57" s="144"/>
      <c r="O57" s="143"/>
      <c r="P57" s="143"/>
      <c r="Q57" s="169"/>
      <c r="R57" s="170"/>
      <c r="S57" s="144"/>
      <c r="T57" s="143"/>
      <c r="U57" s="143"/>
      <c r="V57" s="169"/>
      <c r="W57" s="170"/>
      <c r="X57" s="144"/>
      <c r="Y57" s="143"/>
      <c r="Z57" s="143"/>
      <c r="AA57" s="169"/>
      <c r="AB57" s="170"/>
      <c r="AC57" s="144"/>
      <c r="AD57" s="143"/>
      <c r="AE57" s="143"/>
      <c r="AF57" s="169"/>
      <c r="AG57" s="170"/>
      <c r="AH57" s="144"/>
      <c r="AI57" s="143"/>
      <c r="AJ57" s="143"/>
      <c r="AK57" s="169"/>
      <c r="AL57" s="170"/>
    </row>
    <row r="58" spans="1:38" x14ac:dyDescent="0.25">
      <c r="A58" s="139"/>
      <c r="B58" s="140"/>
      <c r="C58" s="142"/>
      <c r="D58" s="144"/>
      <c r="E58" s="143"/>
      <c r="F58" s="143"/>
      <c r="G58" s="169"/>
      <c r="H58" s="170"/>
      <c r="I58" s="144"/>
      <c r="J58" s="143"/>
      <c r="K58" s="143"/>
      <c r="L58" s="169"/>
      <c r="M58" s="170"/>
      <c r="N58" s="144"/>
      <c r="O58" s="143"/>
      <c r="P58" s="143"/>
      <c r="Q58" s="169"/>
      <c r="R58" s="170"/>
      <c r="S58" s="144"/>
      <c r="T58" s="143"/>
      <c r="U58" s="143"/>
      <c r="V58" s="169"/>
      <c r="W58" s="170"/>
      <c r="X58" s="144"/>
      <c r="Y58" s="143"/>
      <c r="Z58" s="143"/>
      <c r="AA58" s="169"/>
      <c r="AB58" s="170"/>
      <c r="AC58" s="144"/>
      <c r="AD58" s="143"/>
      <c r="AE58" s="143"/>
      <c r="AF58" s="169"/>
      <c r="AG58" s="170"/>
      <c r="AH58" s="144"/>
      <c r="AI58" s="143"/>
      <c r="AJ58" s="143"/>
      <c r="AK58" s="169"/>
      <c r="AL58" s="170"/>
    </row>
    <row r="59" spans="1:38" x14ac:dyDescent="0.25">
      <c r="A59" s="139"/>
      <c r="B59" s="140"/>
      <c r="C59" s="142"/>
      <c r="D59" s="144"/>
      <c r="E59" s="143"/>
      <c r="F59" s="143"/>
      <c r="G59" s="169"/>
      <c r="H59" s="170"/>
      <c r="I59" s="144"/>
      <c r="J59" s="143"/>
      <c r="K59" s="143"/>
      <c r="L59" s="169"/>
      <c r="M59" s="170"/>
      <c r="N59" s="144"/>
      <c r="O59" s="143"/>
      <c r="P59" s="143"/>
      <c r="Q59" s="169"/>
      <c r="R59" s="170"/>
      <c r="S59" s="144"/>
      <c r="T59" s="143"/>
      <c r="U59" s="143"/>
      <c r="V59" s="169"/>
      <c r="W59" s="170"/>
      <c r="X59" s="144"/>
      <c r="Y59" s="143"/>
      <c r="Z59" s="143"/>
      <c r="AA59" s="169"/>
      <c r="AB59" s="170"/>
      <c r="AC59" s="144"/>
      <c r="AD59" s="143"/>
      <c r="AE59" s="143"/>
      <c r="AF59" s="169"/>
      <c r="AG59" s="170"/>
      <c r="AH59" s="144"/>
      <c r="AI59" s="143"/>
      <c r="AJ59" s="143"/>
      <c r="AK59" s="169"/>
      <c r="AL59" s="170"/>
    </row>
    <row r="60" spans="1:38" x14ac:dyDescent="0.25">
      <c r="A60" s="139"/>
      <c r="B60" s="140"/>
      <c r="C60" s="142"/>
      <c r="D60" s="144"/>
      <c r="E60" s="143"/>
      <c r="F60" s="143"/>
      <c r="G60" s="169"/>
      <c r="H60" s="170"/>
      <c r="I60" s="144"/>
      <c r="J60" s="143"/>
      <c r="K60" s="143"/>
      <c r="L60" s="169"/>
      <c r="M60" s="170"/>
      <c r="N60" s="144"/>
      <c r="O60" s="143"/>
      <c r="P60" s="143"/>
      <c r="Q60" s="169"/>
      <c r="R60" s="170"/>
      <c r="S60" s="144"/>
      <c r="T60" s="143"/>
      <c r="U60" s="143"/>
      <c r="V60" s="169"/>
      <c r="W60" s="170"/>
      <c r="X60" s="144"/>
      <c r="Y60" s="143"/>
      <c r="Z60" s="143"/>
      <c r="AA60" s="169"/>
      <c r="AB60" s="170"/>
      <c r="AC60" s="144"/>
      <c r="AD60" s="143"/>
      <c r="AE60" s="143"/>
      <c r="AF60" s="169"/>
      <c r="AG60" s="170"/>
      <c r="AH60" s="144"/>
      <c r="AI60" s="143"/>
      <c r="AJ60" s="143"/>
      <c r="AK60" s="169"/>
      <c r="AL60" s="170"/>
    </row>
    <row r="61" spans="1:38" x14ac:dyDescent="0.25">
      <c r="A61" s="139"/>
      <c r="B61" s="140"/>
      <c r="C61" s="142"/>
      <c r="D61" s="144"/>
      <c r="E61" s="143"/>
      <c r="F61" s="143"/>
      <c r="G61" s="169"/>
      <c r="H61" s="170"/>
      <c r="I61" s="144"/>
      <c r="J61" s="143"/>
      <c r="K61" s="143"/>
      <c r="L61" s="169"/>
      <c r="M61" s="170"/>
      <c r="N61" s="144"/>
      <c r="O61" s="143"/>
      <c r="P61" s="143"/>
      <c r="Q61" s="169"/>
      <c r="R61" s="170"/>
      <c r="S61" s="144"/>
      <c r="T61" s="143"/>
      <c r="U61" s="143"/>
      <c r="V61" s="169"/>
      <c r="W61" s="170"/>
      <c r="X61" s="144"/>
      <c r="Y61" s="143"/>
      <c r="Z61" s="143"/>
      <c r="AA61" s="169"/>
      <c r="AB61" s="170"/>
      <c r="AC61" s="144"/>
      <c r="AD61" s="143"/>
      <c r="AE61" s="143"/>
      <c r="AF61" s="169"/>
      <c r="AG61" s="170"/>
      <c r="AH61" s="144"/>
      <c r="AI61" s="143"/>
      <c r="AJ61" s="143"/>
      <c r="AK61" s="169"/>
      <c r="AL61" s="170"/>
    </row>
    <row r="62" spans="1:38" x14ac:dyDescent="0.25">
      <c r="A62" s="139"/>
      <c r="B62" s="140"/>
      <c r="C62" s="142"/>
      <c r="D62" s="144"/>
      <c r="E62" s="143"/>
      <c r="F62" s="143"/>
      <c r="G62" s="169"/>
      <c r="H62" s="170"/>
      <c r="I62" s="144"/>
      <c r="J62" s="143"/>
      <c r="K62" s="143"/>
      <c r="L62" s="169"/>
      <c r="M62" s="170"/>
      <c r="N62" s="144"/>
      <c r="O62" s="143"/>
      <c r="P62" s="143"/>
      <c r="Q62" s="169"/>
      <c r="R62" s="170"/>
      <c r="S62" s="144"/>
      <c r="T62" s="143"/>
      <c r="U62" s="143"/>
      <c r="V62" s="169"/>
      <c r="W62" s="170"/>
      <c r="X62" s="144"/>
      <c r="Y62" s="143"/>
      <c r="Z62" s="143"/>
      <c r="AA62" s="169"/>
      <c r="AB62" s="170"/>
      <c r="AC62" s="144"/>
      <c r="AD62" s="143"/>
      <c r="AE62" s="143"/>
      <c r="AF62" s="169"/>
      <c r="AG62" s="170"/>
      <c r="AH62" s="144"/>
      <c r="AI62" s="143"/>
      <c r="AJ62" s="143"/>
      <c r="AK62" s="169"/>
      <c r="AL62" s="170"/>
    </row>
    <row r="63" spans="1:38" x14ac:dyDescent="0.25">
      <c r="A63" s="139"/>
      <c r="B63" s="140"/>
      <c r="C63" s="142"/>
      <c r="D63" s="144"/>
      <c r="E63" s="143"/>
      <c r="F63" s="143"/>
      <c r="G63" s="169"/>
      <c r="H63" s="170"/>
      <c r="I63" s="144"/>
      <c r="J63" s="143"/>
      <c r="K63" s="143"/>
      <c r="L63" s="169"/>
      <c r="M63" s="170"/>
      <c r="N63" s="144"/>
      <c r="O63" s="143"/>
      <c r="P63" s="143"/>
      <c r="Q63" s="169"/>
      <c r="R63" s="170"/>
      <c r="S63" s="144"/>
      <c r="T63" s="143"/>
      <c r="U63" s="143"/>
      <c r="V63" s="169"/>
      <c r="W63" s="170"/>
      <c r="X63" s="144"/>
      <c r="Y63" s="143"/>
      <c r="Z63" s="143"/>
      <c r="AA63" s="169"/>
      <c r="AB63" s="170"/>
      <c r="AC63" s="144"/>
      <c r="AD63" s="143"/>
      <c r="AE63" s="143"/>
      <c r="AF63" s="169"/>
      <c r="AG63" s="170"/>
      <c r="AH63" s="144"/>
      <c r="AI63" s="143"/>
      <c r="AJ63" s="143"/>
      <c r="AK63" s="169"/>
      <c r="AL63" s="170"/>
    </row>
    <row r="64" spans="1:38" x14ac:dyDescent="0.25">
      <c r="A64" s="139"/>
      <c r="B64" s="140"/>
      <c r="C64" s="142"/>
      <c r="D64" s="144"/>
      <c r="E64" s="143"/>
      <c r="F64" s="143"/>
      <c r="G64" s="169"/>
      <c r="H64" s="170"/>
      <c r="I64" s="144"/>
      <c r="J64" s="143"/>
      <c r="K64" s="143"/>
      <c r="L64" s="169"/>
      <c r="M64" s="170"/>
      <c r="N64" s="144"/>
      <c r="O64" s="143"/>
      <c r="P64" s="143"/>
      <c r="Q64" s="169"/>
      <c r="R64" s="170"/>
      <c r="S64" s="144"/>
      <c r="T64" s="143"/>
      <c r="U64" s="143"/>
      <c r="V64" s="169"/>
      <c r="W64" s="170"/>
      <c r="X64" s="144"/>
      <c r="Y64" s="143"/>
      <c r="Z64" s="143"/>
      <c r="AA64" s="169"/>
      <c r="AB64" s="170"/>
      <c r="AC64" s="144"/>
      <c r="AD64" s="143"/>
      <c r="AE64" s="143"/>
      <c r="AF64" s="169"/>
      <c r="AG64" s="170"/>
      <c r="AH64" s="144"/>
      <c r="AI64" s="143"/>
      <c r="AJ64" s="143"/>
      <c r="AK64" s="169"/>
      <c r="AL64" s="170"/>
    </row>
    <row r="65" spans="1:38" x14ac:dyDescent="0.25">
      <c r="A65" s="139"/>
      <c r="B65" s="140"/>
      <c r="C65" s="142"/>
      <c r="D65" s="144"/>
      <c r="E65" s="143"/>
      <c r="F65" s="143"/>
      <c r="G65" s="169"/>
      <c r="H65" s="170"/>
      <c r="I65" s="144"/>
      <c r="J65" s="143"/>
      <c r="K65" s="143"/>
      <c r="L65" s="169"/>
      <c r="M65" s="170"/>
      <c r="N65" s="144"/>
      <c r="O65" s="143"/>
      <c r="P65" s="143"/>
      <c r="Q65" s="169"/>
      <c r="R65" s="170"/>
      <c r="S65" s="144"/>
      <c r="T65" s="143"/>
      <c r="U65" s="143"/>
      <c r="V65" s="169"/>
      <c r="W65" s="170"/>
      <c r="X65" s="144"/>
      <c r="Y65" s="143"/>
      <c r="Z65" s="143"/>
      <c r="AA65" s="169"/>
      <c r="AB65" s="170"/>
      <c r="AC65" s="144"/>
      <c r="AD65" s="143"/>
      <c r="AE65" s="143"/>
      <c r="AF65" s="169"/>
      <c r="AG65" s="170"/>
      <c r="AH65" s="144"/>
      <c r="AI65" s="143"/>
      <c r="AJ65" s="143"/>
      <c r="AK65" s="169"/>
      <c r="AL65" s="170"/>
    </row>
    <row r="66" spans="1:38" x14ac:dyDescent="0.25">
      <c r="A66" s="139"/>
      <c r="B66" s="140"/>
      <c r="C66" s="142"/>
      <c r="D66" s="144"/>
      <c r="E66" s="143"/>
      <c r="F66" s="143"/>
      <c r="G66" s="169"/>
      <c r="H66" s="170"/>
      <c r="I66" s="144"/>
      <c r="J66" s="143"/>
      <c r="K66" s="143"/>
      <c r="L66" s="169"/>
      <c r="M66" s="170"/>
      <c r="N66" s="144"/>
      <c r="O66" s="143"/>
      <c r="P66" s="143"/>
      <c r="Q66" s="169"/>
      <c r="R66" s="170"/>
      <c r="S66" s="144"/>
      <c r="T66" s="143"/>
      <c r="U66" s="143"/>
      <c r="V66" s="169"/>
      <c r="W66" s="170"/>
      <c r="X66" s="144"/>
      <c r="Y66" s="143"/>
      <c r="Z66" s="143"/>
      <c r="AA66" s="169"/>
      <c r="AB66" s="170"/>
      <c r="AC66" s="144"/>
      <c r="AD66" s="143"/>
      <c r="AE66" s="143"/>
      <c r="AF66" s="169"/>
      <c r="AG66" s="170"/>
      <c r="AH66" s="144"/>
      <c r="AI66" s="143"/>
      <c r="AJ66" s="143"/>
      <c r="AK66" s="169"/>
      <c r="AL66" s="170"/>
    </row>
    <row r="67" spans="1:38" x14ac:dyDescent="0.25">
      <c r="A67" s="139"/>
      <c r="B67" s="140"/>
      <c r="C67" s="142"/>
      <c r="D67" s="144"/>
      <c r="E67" s="143"/>
      <c r="F67" s="143"/>
      <c r="G67" s="169"/>
      <c r="H67" s="170"/>
      <c r="I67" s="144"/>
      <c r="J67" s="143"/>
      <c r="K67" s="143"/>
      <c r="L67" s="169"/>
      <c r="M67" s="170"/>
      <c r="N67" s="144"/>
      <c r="O67" s="143"/>
      <c r="P67" s="143"/>
      <c r="Q67" s="169"/>
      <c r="R67" s="170"/>
      <c r="S67" s="144"/>
      <c r="T67" s="143"/>
      <c r="U67" s="143"/>
      <c r="V67" s="169"/>
      <c r="W67" s="170"/>
      <c r="X67" s="144"/>
      <c r="Y67" s="143"/>
      <c r="Z67" s="143"/>
      <c r="AA67" s="169"/>
      <c r="AB67" s="170"/>
      <c r="AC67" s="144"/>
      <c r="AD67" s="143"/>
      <c r="AE67" s="143"/>
      <c r="AF67" s="169"/>
      <c r="AG67" s="170"/>
      <c r="AH67" s="144"/>
      <c r="AI67" s="143"/>
      <c r="AJ67" s="143"/>
      <c r="AK67" s="169"/>
      <c r="AL67" s="170"/>
    </row>
    <row r="68" spans="1:38" x14ac:dyDescent="0.25">
      <c r="A68" s="139"/>
      <c r="B68" s="140"/>
      <c r="C68" s="142"/>
      <c r="D68" s="144"/>
      <c r="E68" s="143"/>
      <c r="F68" s="143"/>
      <c r="G68" s="169"/>
      <c r="H68" s="170"/>
      <c r="I68" s="144"/>
      <c r="J68" s="143"/>
      <c r="K68" s="143"/>
      <c r="L68" s="169"/>
      <c r="M68" s="170"/>
      <c r="N68" s="144"/>
      <c r="O68" s="143"/>
      <c r="P68" s="143"/>
      <c r="Q68" s="169"/>
      <c r="R68" s="170"/>
      <c r="S68" s="144"/>
      <c r="T68" s="143"/>
      <c r="U68" s="143"/>
      <c r="V68" s="169"/>
      <c r="W68" s="170"/>
      <c r="X68" s="144"/>
      <c r="Y68" s="143"/>
      <c r="Z68" s="143"/>
      <c r="AA68" s="169"/>
      <c r="AB68" s="170"/>
      <c r="AC68" s="144"/>
      <c r="AD68" s="143"/>
      <c r="AE68" s="143"/>
      <c r="AF68" s="169"/>
      <c r="AG68" s="170"/>
      <c r="AH68" s="144"/>
      <c r="AI68" s="143"/>
      <c r="AJ68" s="143"/>
      <c r="AK68" s="169"/>
      <c r="AL68" s="170"/>
    </row>
    <row r="69" spans="1:38" x14ac:dyDescent="0.25">
      <c r="A69" s="139"/>
      <c r="B69" s="140"/>
      <c r="C69" s="142"/>
      <c r="D69" s="144"/>
      <c r="E69" s="143"/>
      <c r="F69" s="143"/>
      <c r="G69" s="169"/>
      <c r="H69" s="170"/>
      <c r="I69" s="144"/>
      <c r="J69" s="143"/>
      <c r="K69" s="143"/>
      <c r="L69" s="169"/>
      <c r="M69" s="170"/>
      <c r="N69" s="144"/>
      <c r="O69" s="143"/>
      <c r="P69" s="143"/>
      <c r="Q69" s="169"/>
      <c r="R69" s="170"/>
      <c r="S69" s="144"/>
      <c r="T69" s="143"/>
      <c r="U69" s="143"/>
      <c r="V69" s="169"/>
      <c r="W69" s="170"/>
      <c r="X69" s="144"/>
      <c r="Y69" s="143"/>
      <c r="Z69" s="143"/>
      <c r="AA69" s="169"/>
      <c r="AB69" s="170"/>
      <c r="AC69" s="144"/>
      <c r="AD69" s="143"/>
      <c r="AE69" s="143"/>
      <c r="AF69" s="169"/>
      <c r="AG69" s="170"/>
      <c r="AH69" s="144"/>
      <c r="AI69" s="143"/>
      <c r="AJ69" s="143"/>
      <c r="AK69" s="169"/>
      <c r="AL69" s="170"/>
    </row>
    <row r="70" spans="1:38" x14ac:dyDescent="0.25">
      <c r="A70" s="139"/>
      <c r="B70" s="140"/>
      <c r="C70" s="142"/>
      <c r="D70" s="144"/>
      <c r="E70" s="143"/>
      <c r="F70" s="143"/>
      <c r="G70" s="169"/>
      <c r="H70" s="170"/>
      <c r="I70" s="144"/>
      <c r="J70" s="143"/>
      <c r="K70" s="143"/>
      <c r="L70" s="169"/>
      <c r="M70" s="170"/>
      <c r="N70" s="144"/>
      <c r="O70" s="143"/>
      <c r="P70" s="143"/>
      <c r="Q70" s="169"/>
      <c r="R70" s="170"/>
      <c r="S70" s="144"/>
      <c r="T70" s="143"/>
      <c r="U70" s="143"/>
      <c r="V70" s="169"/>
      <c r="W70" s="170"/>
      <c r="X70" s="144"/>
      <c r="Y70" s="143"/>
      <c r="Z70" s="143"/>
      <c r="AA70" s="169"/>
      <c r="AB70" s="170"/>
      <c r="AC70" s="144"/>
      <c r="AD70" s="143"/>
      <c r="AE70" s="143"/>
      <c r="AF70" s="169"/>
      <c r="AG70" s="170"/>
      <c r="AH70" s="144"/>
      <c r="AI70" s="143"/>
      <c r="AJ70" s="143"/>
      <c r="AK70" s="169"/>
      <c r="AL70" s="170"/>
    </row>
    <row r="71" spans="1:38" x14ac:dyDescent="0.25">
      <c r="A71" s="139"/>
      <c r="B71" s="140"/>
      <c r="C71" s="142"/>
      <c r="D71" s="144"/>
      <c r="E71" s="143"/>
      <c r="F71" s="143"/>
      <c r="G71" s="169"/>
      <c r="H71" s="170"/>
      <c r="I71" s="144"/>
      <c r="J71" s="143"/>
      <c r="K71" s="143"/>
      <c r="L71" s="169"/>
      <c r="M71" s="170"/>
      <c r="N71" s="144"/>
      <c r="O71" s="143"/>
      <c r="P71" s="143"/>
      <c r="Q71" s="169"/>
      <c r="R71" s="170"/>
      <c r="S71" s="144"/>
      <c r="T71" s="143"/>
      <c r="U71" s="143"/>
      <c r="V71" s="169"/>
      <c r="W71" s="170"/>
      <c r="X71" s="144"/>
      <c r="Y71" s="143"/>
      <c r="Z71" s="143"/>
      <c r="AA71" s="169"/>
      <c r="AB71" s="170"/>
      <c r="AC71" s="144"/>
      <c r="AD71" s="143"/>
      <c r="AE71" s="143"/>
      <c r="AF71" s="169"/>
      <c r="AG71" s="170"/>
      <c r="AH71" s="144"/>
      <c r="AI71" s="143"/>
      <c r="AJ71" s="143"/>
      <c r="AK71" s="169"/>
      <c r="AL71" s="170"/>
    </row>
    <row r="72" spans="1:38" x14ac:dyDescent="0.25">
      <c r="A72" s="139"/>
      <c r="B72" s="140"/>
      <c r="C72" s="142"/>
      <c r="D72" s="144"/>
      <c r="E72" s="143"/>
      <c r="F72" s="143"/>
      <c r="G72" s="169"/>
      <c r="H72" s="170"/>
      <c r="I72" s="144"/>
      <c r="J72" s="143"/>
      <c r="K72" s="143"/>
      <c r="L72" s="169"/>
      <c r="M72" s="170"/>
      <c r="N72" s="144"/>
      <c r="O72" s="143"/>
      <c r="P72" s="143"/>
      <c r="Q72" s="169"/>
      <c r="R72" s="170"/>
      <c r="S72" s="144"/>
      <c r="T72" s="143"/>
      <c r="U72" s="143"/>
      <c r="V72" s="169"/>
      <c r="W72" s="170"/>
      <c r="X72" s="144"/>
      <c r="Y72" s="143"/>
      <c r="Z72" s="143"/>
      <c r="AA72" s="169"/>
      <c r="AB72" s="170"/>
      <c r="AC72" s="144"/>
      <c r="AD72" s="143"/>
      <c r="AE72" s="143"/>
      <c r="AF72" s="169"/>
      <c r="AG72" s="170"/>
      <c r="AH72" s="144"/>
      <c r="AI72" s="143"/>
      <c r="AJ72" s="143"/>
      <c r="AK72" s="169"/>
      <c r="AL72" s="170"/>
    </row>
    <row r="73" spans="1:38" x14ac:dyDescent="0.25">
      <c r="A73" s="139"/>
      <c r="B73" s="140"/>
      <c r="C73" s="142"/>
      <c r="D73" s="144"/>
      <c r="E73" s="143"/>
      <c r="F73" s="143"/>
      <c r="G73" s="169"/>
      <c r="H73" s="170"/>
      <c r="I73" s="144"/>
      <c r="J73" s="143"/>
      <c r="K73" s="143"/>
      <c r="L73" s="169"/>
      <c r="M73" s="170"/>
      <c r="N73" s="144"/>
      <c r="O73" s="143"/>
      <c r="P73" s="143"/>
      <c r="Q73" s="169"/>
      <c r="R73" s="170"/>
      <c r="S73" s="144"/>
      <c r="T73" s="143"/>
      <c r="U73" s="143"/>
      <c r="V73" s="169"/>
      <c r="W73" s="170"/>
      <c r="X73" s="144"/>
      <c r="Y73" s="143"/>
      <c r="Z73" s="143"/>
      <c r="AA73" s="169"/>
      <c r="AB73" s="170"/>
      <c r="AC73" s="144"/>
      <c r="AD73" s="143"/>
      <c r="AE73" s="143"/>
      <c r="AF73" s="169"/>
      <c r="AG73" s="170"/>
      <c r="AH73" s="144"/>
      <c r="AI73" s="143"/>
      <c r="AJ73" s="143"/>
      <c r="AK73" s="169"/>
      <c r="AL73" s="170"/>
    </row>
    <row r="74" spans="1:38" x14ac:dyDescent="0.25">
      <c r="A74" s="139"/>
      <c r="B74" s="140"/>
      <c r="C74" s="142"/>
      <c r="D74" s="144"/>
      <c r="E74" s="143"/>
      <c r="F74" s="143"/>
      <c r="G74" s="169"/>
      <c r="H74" s="170"/>
      <c r="I74" s="144"/>
      <c r="J74" s="143"/>
      <c r="K74" s="143"/>
      <c r="L74" s="169"/>
      <c r="M74" s="170"/>
      <c r="N74" s="144"/>
      <c r="O74" s="143"/>
      <c r="P74" s="143"/>
      <c r="Q74" s="169"/>
      <c r="R74" s="170"/>
      <c r="S74" s="144"/>
      <c r="T74" s="143"/>
      <c r="U74" s="143"/>
      <c r="V74" s="169"/>
      <c r="W74" s="170"/>
      <c r="X74" s="144"/>
      <c r="Y74" s="143"/>
      <c r="Z74" s="143"/>
      <c r="AA74" s="169"/>
      <c r="AB74" s="170"/>
      <c r="AC74" s="144"/>
      <c r="AD74" s="143"/>
      <c r="AE74" s="143"/>
      <c r="AF74" s="169"/>
      <c r="AG74" s="170"/>
      <c r="AH74" s="144"/>
      <c r="AI74" s="143"/>
      <c r="AJ74" s="143"/>
      <c r="AK74" s="169"/>
      <c r="AL74" s="170"/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8B2CB-3B4C-46F1-8F4F-5E28CB58AD5D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A420A-1770-429C-B47C-33E2796922DF}">
  <sheetPr codeName="Feuil2"/>
  <dimension ref="A1:AR15"/>
  <sheetViews>
    <sheetView zoomScale="85" zoomScaleNormal="85" workbookViewId="0">
      <selection activeCell="F18" sqref="F18"/>
    </sheetView>
  </sheetViews>
  <sheetFormatPr baseColWidth="10" defaultRowHeight="15" x14ac:dyDescent="0.25"/>
  <cols>
    <col min="1" max="1" width="25.28515625" style="12" customWidth="1"/>
    <col min="2" max="2" width="25.28515625" customWidth="1"/>
    <col min="3" max="3" width="25.28515625" style="12" customWidth="1"/>
    <col min="4" max="6" width="14" customWidth="1"/>
    <col min="13" max="14" width="21" customWidth="1"/>
    <col min="17" max="17" width="30.85546875" customWidth="1"/>
    <col min="18" max="19" width="13.5703125" customWidth="1"/>
    <col min="20" max="20" width="47.140625" customWidth="1"/>
    <col min="21" max="21" width="4.7109375" style="40" customWidth="1"/>
    <col min="23" max="23" width="15" customWidth="1"/>
    <col min="33" max="33" width="4.7109375" style="40" customWidth="1"/>
    <col min="34" max="34" width="24.140625" customWidth="1"/>
    <col min="35" max="37" width="14" customWidth="1"/>
  </cols>
  <sheetData>
    <row r="1" spans="1:44" ht="21.75" thickBot="1" x14ac:dyDescent="0.3">
      <c r="A1" s="203" t="s">
        <v>67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5"/>
      <c r="V1" s="219" t="s">
        <v>36</v>
      </c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35"/>
      <c r="AH1" s="199" t="s">
        <v>66</v>
      </c>
      <c r="AI1" s="199"/>
      <c r="AJ1" s="199"/>
      <c r="AK1" s="199"/>
      <c r="AM1" s="194" t="s">
        <v>126</v>
      </c>
      <c r="AN1" s="194"/>
      <c r="AO1" s="194"/>
      <c r="AP1" s="194"/>
      <c r="AQ1" s="194"/>
      <c r="AR1" s="194"/>
    </row>
    <row r="2" spans="1:44" s="14" customFormat="1" ht="39" customHeight="1" x14ac:dyDescent="0.25">
      <c r="A2" s="216" t="s">
        <v>42</v>
      </c>
      <c r="B2" s="217"/>
      <c r="C2" s="218"/>
      <c r="D2" s="220" t="s">
        <v>111</v>
      </c>
      <c r="E2" s="221"/>
      <c r="F2" s="221"/>
      <c r="G2" s="221"/>
      <c r="H2" s="221"/>
      <c r="I2" s="221"/>
      <c r="J2" s="222"/>
      <c r="L2" s="212" t="s">
        <v>40</v>
      </c>
      <c r="M2" s="213"/>
      <c r="N2" s="214"/>
      <c r="O2" s="215"/>
      <c r="Q2" s="200" t="s">
        <v>41</v>
      </c>
      <c r="R2" s="201"/>
      <c r="S2" s="201"/>
      <c r="T2" s="202"/>
      <c r="U2" s="36"/>
      <c r="V2" s="210" t="s">
        <v>59</v>
      </c>
      <c r="W2" s="211"/>
      <c r="X2" s="15"/>
      <c r="Y2" s="192" t="s">
        <v>43</v>
      </c>
      <c r="Z2" s="193"/>
      <c r="AA2" s="1"/>
      <c r="AB2" s="206" t="s">
        <v>20</v>
      </c>
      <c r="AC2" s="207"/>
      <c r="AD2" s="1"/>
      <c r="AE2" s="208" t="s">
        <v>57</v>
      </c>
      <c r="AF2" s="209"/>
      <c r="AG2" s="36"/>
      <c r="AH2" s="99" t="s">
        <v>94</v>
      </c>
      <c r="AI2" s="18">
        <v>0</v>
      </c>
      <c r="AJ2" s="97">
        <v>3.9799999999999999E-7</v>
      </c>
      <c r="AK2" s="98">
        <v>134000</v>
      </c>
      <c r="AM2" s="111" t="s">
        <v>129</v>
      </c>
      <c r="AN2" s="113" t="s">
        <v>130</v>
      </c>
      <c r="AO2" s="113" t="s">
        <v>131</v>
      </c>
      <c r="AP2" s="113" t="s">
        <v>132</v>
      </c>
      <c r="AQ2" s="113" t="s">
        <v>133</v>
      </c>
      <c r="AR2" s="113" t="s">
        <v>134</v>
      </c>
    </row>
    <row r="3" spans="1:44" s="41" customFormat="1" ht="55.5" customHeight="1" thickBot="1" x14ac:dyDescent="0.3">
      <c r="A3" s="45" t="s">
        <v>54</v>
      </c>
      <c r="B3" s="82" t="s">
        <v>81</v>
      </c>
      <c r="C3" s="101" t="s">
        <v>53</v>
      </c>
      <c r="D3" s="103" t="s">
        <v>49</v>
      </c>
      <c r="E3" s="104" t="s">
        <v>47</v>
      </c>
      <c r="F3" s="105" t="s">
        <v>48</v>
      </c>
      <c r="G3" s="131" t="s">
        <v>112</v>
      </c>
      <c r="H3" s="131" t="s">
        <v>113</v>
      </c>
      <c r="I3" s="131" t="s">
        <v>114</v>
      </c>
      <c r="J3" s="132" t="s">
        <v>115</v>
      </c>
      <c r="L3" s="46" t="s">
        <v>55</v>
      </c>
      <c r="M3" s="47" t="s">
        <v>54</v>
      </c>
      <c r="N3" s="86" t="s">
        <v>81</v>
      </c>
      <c r="O3" s="48" t="s">
        <v>53</v>
      </c>
      <c r="Q3" s="49" t="s">
        <v>56</v>
      </c>
      <c r="R3" s="91" t="s">
        <v>81</v>
      </c>
      <c r="S3" s="50" t="s">
        <v>53</v>
      </c>
      <c r="T3" s="51" t="s">
        <v>75</v>
      </c>
      <c r="U3" s="42"/>
      <c r="V3" s="89" t="s">
        <v>60</v>
      </c>
      <c r="W3" s="18">
        <v>-1</v>
      </c>
      <c r="Y3" s="89" t="s">
        <v>16</v>
      </c>
      <c r="Z3" s="18" t="s">
        <v>8</v>
      </c>
      <c r="AB3" s="89" t="s">
        <v>22</v>
      </c>
      <c r="AC3" s="18">
        <v>0</v>
      </c>
      <c r="AE3" s="18">
        <v>0</v>
      </c>
      <c r="AF3" s="18" t="s">
        <v>24</v>
      </c>
      <c r="AG3" s="42"/>
      <c r="AH3" s="99" t="s">
        <v>95</v>
      </c>
      <c r="AI3" s="18">
        <v>0</v>
      </c>
      <c r="AJ3" s="97">
        <v>9.3200000000000003E-7</v>
      </c>
      <c r="AK3" s="98">
        <v>157270</v>
      </c>
      <c r="AM3" s="112" t="s">
        <v>128</v>
      </c>
      <c r="AN3" s="114"/>
      <c r="AO3" s="115"/>
      <c r="AP3" s="115"/>
      <c r="AQ3" s="115"/>
      <c r="AR3" s="116"/>
    </row>
    <row r="4" spans="1:44" s="17" customFormat="1" ht="45" x14ac:dyDescent="0.25">
      <c r="A4" s="76" t="s">
        <v>12</v>
      </c>
      <c r="B4" s="81" t="s">
        <v>12</v>
      </c>
      <c r="C4" s="102">
        <v>0</v>
      </c>
      <c r="D4" s="73">
        <v>18.93</v>
      </c>
      <c r="E4" s="130">
        <v>5.0000000000000001E-3</v>
      </c>
      <c r="F4" s="133">
        <v>138000</v>
      </c>
      <c r="G4" s="73"/>
      <c r="H4" s="75"/>
      <c r="I4" s="75"/>
      <c r="J4" s="74"/>
      <c r="K4" s="15"/>
      <c r="L4" s="83" t="s">
        <v>16</v>
      </c>
      <c r="M4" s="84" t="s">
        <v>68</v>
      </c>
      <c r="N4" s="87" t="s">
        <v>82</v>
      </c>
      <c r="O4" s="85">
        <v>1</v>
      </c>
      <c r="P4" s="15"/>
      <c r="Q4" s="73" t="s">
        <v>26</v>
      </c>
      <c r="R4" s="92" t="s">
        <v>89</v>
      </c>
      <c r="S4" s="75">
        <v>0</v>
      </c>
      <c r="T4" s="74"/>
      <c r="U4" s="37"/>
      <c r="V4" s="89" t="s">
        <v>61</v>
      </c>
      <c r="W4" s="18">
        <v>-2</v>
      </c>
      <c r="Y4" s="89" t="s">
        <v>17</v>
      </c>
      <c r="Z4" s="18" t="s">
        <v>2</v>
      </c>
      <c r="AB4" s="89" t="s">
        <v>21</v>
      </c>
      <c r="AC4" s="18">
        <v>1</v>
      </c>
      <c r="AE4" s="18" t="s">
        <v>23</v>
      </c>
      <c r="AF4" s="18" t="s">
        <v>25</v>
      </c>
      <c r="AG4" s="37"/>
      <c r="AH4" s="99" t="s">
        <v>137</v>
      </c>
      <c r="AI4" s="18">
        <v>0</v>
      </c>
      <c r="AJ4" s="97">
        <v>2.1399999999999998E-6</v>
      </c>
      <c r="AK4" s="98">
        <v>148000</v>
      </c>
      <c r="AM4" s="88" t="s">
        <v>127</v>
      </c>
      <c r="AN4" s="102">
        <v>20</v>
      </c>
      <c r="AO4" s="117">
        <v>70</v>
      </c>
      <c r="AP4" s="117">
        <v>0.1</v>
      </c>
      <c r="AQ4" s="117">
        <v>0.3</v>
      </c>
      <c r="AR4" s="118">
        <v>0.15</v>
      </c>
    </row>
    <row r="5" spans="1:44" s="17" customFormat="1" ht="30" x14ac:dyDescent="0.25">
      <c r="A5" s="76" t="s">
        <v>78</v>
      </c>
      <c r="B5" s="81" t="s">
        <v>13</v>
      </c>
      <c r="C5" s="102">
        <v>1</v>
      </c>
      <c r="D5" s="76">
        <v>18.93</v>
      </c>
      <c r="E5" s="97">
        <v>1.9999999999999999E-7</v>
      </c>
      <c r="F5" s="134">
        <v>109200</v>
      </c>
      <c r="G5" s="106">
        <v>2.3999999999999998E-7</v>
      </c>
      <c r="H5" s="18">
        <v>13</v>
      </c>
      <c r="I5" s="18">
        <v>0.22500000000000001</v>
      </c>
      <c r="J5" s="43">
        <v>-5451</v>
      </c>
      <c r="K5" s="15"/>
      <c r="L5" s="76" t="s">
        <v>16</v>
      </c>
      <c r="M5" s="18" t="s">
        <v>70</v>
      </c>
      <c r="N5" s="88" t="s">
        <v>84</v>
      </c>
      <c r="O5" s="43">
        <v>100</v>
      </c>
      <c r="P5" s="15"/>
      <c r="Q5" s="76" t="s">
        <v>27</v>
      </c>
      <c r="R5" s="93" t="s">
        <v>90</v>
      </c>
      <c r="S5" s="18">
        <v>1</v>
      </c>
      <c r="T5" s="43"/>
      <c r="U5" s="37"/>
      <c r="V5"/>
      <c r="W5"/>
      <c r="X5" s="16"/>
      <c r="Y5" s="89" t="s">
        <v>19</v>
      </c>
      <c r="Z5" s="18" t="s">
        <v>18</v>
      </c>
      <c r="AB5" s="89" t="s">
        <v>116</v>
      </c>
      <c r="AC5" s="18">
        <v>2</v>
      </c>
      <c r="AE5" s="15"/>
      <c r="AF5" s="15"/>
      <c r="AG5" s="37"/>
      <c r="AH5" s="11"/>
      <c r="AI5" s="11"/>
      <c r="AJ5" s="11"/>
      <c r="AK5" s="11"/>
    </row>
    <row r="6" spans="1:44" s="17" customFormat="1" ht="30" x14ac:dyDescent="0.25">
      <c r="A6" s="76" t="s">
        <v>79</v>
      </c>
      <c r="B6" s="81" t="s">
        <v>14</v>
      </c>
      <c r="C6" s="102">
        <v>2</v>
      </c>
      <c r="D6" s="76">
        <v>19.8</v>
      </c>
      <c r="E6" s="97">
        <v>6.0714000000000002E-5</v>
      </c>
      <c r="F6" s="134">
        <v>122300</v>
      </c>
      <c r="G6" s="76"/>
      <c r="H6" s="18"/>
      <c r="I6" s="18"/>
      <c r="J6" s="43"/>
      <c r="K6" s="15"/>
      <c r="L6" s="76" t="s">
        <v>16</v>
      </c>
      <c r="M6" s="18" t="s">
        <v>69</v>
      </c>
      <c r="N6" s="88" t="s">
        <v>83</v>
      </c>
      <c r="O6" s="43">
        <v>102</v>
      </c>
      <c r="P6" s="15"/>
      <c r="Q6" s="76" t="s">
        <v>28</v>
      </c>
      <c r="R6" s="93" t="s">
        <v>91</v>
      </c>
      <c r="S6" s="18">
        <v>2</v>
      </c>
      <c r="T6" s="43"/>
      <c r="U6" s="37"/>
      <c r="V6"/>
      <c r="W6"/>
      <c r="X6" s="16"/>
      <c r="Y6" s="89" t="s">
        <v>58</v>
      </c>
      <c r="Z6" s="18" t="s">
        <v>110</v>
      </c>
      <c r="AB6" s="89" t="s">
        <v>117</v>
      </c>
      <c r="AC6" s="18">
        <v>3</v>
      </c>
      <c r="AD6" s="15"/>
      <c r="AE6" s="15"/>
      <c r="AF6" s="15"/>
      <c r="AG6" s="37"/>
      <c r="AH6" s="11"/>
      <c r="AI6" s="11"/>
      <c r="AJ6" s="11"/>
      <c r="AK6" s="11"/>
    </row>
    <row r="7" spans="1:44" s="17" customFormat="1" ht="30" x14ac:dyDescent="0.25">
      <c r="A7" s="76" t="s">
        <v>80</v>
      </c>
      <c r="B7" s="81" t="s">
        <v>15</v>
      </c>
      <c r="C7" s="102">
        <v>3</v>
      </c>
      <c r="D7" s="76">
        <v>15.65</v>
      </c>
      <c r="E7" s="97">
        <v>19.3188</v>
      </c>
      <c r="F7" s="134">
        <v>165000</v>
      </c>
      <c r="G7" s="76"/>
      <c r="H7" s="18"/>
      <c r="I7" s="18"/>
      <c r="J7" s="43"/>
      <c r="K7" s="15"/>
      <c r="L7" s="76" t="s">
        <v>16</v>
      </c>
      <c r="M7" s="18" t="s">
        <v>71</v>
      </c>
      <c r="N7" s="88" t="s">
        <v>85</v>
      </c>
      <c r="O7" s="43">
        <v>105</v>
      </c>
      <c r="P7" s="15"/>
      <c r="Q7" s="76" t="s">
        <v>29</v>
      </c>
      <c r="R7" s="93" t="s">
        <v>92</v>
      </c>
      <c r="S7" s="18">
        <v>3</v>
      </c>
      <c r="T7" s="43"/>
      <c r="U7" s="37"/>
      <c r="AB7" s="89" t="s">
        <v>118</v>
      </c>
      <c r="AC7" s="18">
        <v>4</v>
      </c>
      <c r="AG7" s="37"/>
      <c r="AH7" s="12"/>
      <c r="AI7" s="12"/>
      <c r="AJ7" s="12"/>
      <c r="AK7" s="12"/>
    </row>
    <row r="8" spans="1:44" s="17" customFormat="1" ht="75.75" thickBot="1" x14ac:dyDescent="0.3">
      <c r="A8" s="76" t="s">
        <v>96</v>
      </c>
      <c r="B8" s="81" t="s">
        <v>124</v>
      </c>
      <c r="C8" s="102">
        <v>4</v>
      </c>
      <c r="D8" s="76">
        <v>18.93</v>
      </c>
      <c r="E8" s="97">
        <v>1.9999999999999999E-7</v>
      </c>
      <c r="F8" s="134">
        <v>100100</v>
      </c>
      <c r="G8" s="76">
        <v>2.0506984818469548E-7</v>
      </c>
      <c r="H8" s="18">
        <f t="shared" ref="H8:J8" si="0">H5</f>
        <v>13</v>
      </c>
      <c r="I8" s="18">
        <f t="shared" si="0"/>
        <v>0.22500000000000001</v>
      </c>
      <c r="J8" s="43">
        <f t="shared" si="0"/>
        <v>-5451</v>
      </c>
      <c r="K8" s="15"/>
      <c r="L8" s="76" t="s">
        <v>17</v>
      </c>
      <c r="M8" s="18" t="s">
        <v>72</v>
      </c>
      <c r="N8" s="88" t="s">
        <v>86</v>
      </c>
      <c r="O8" s="43">
        <v>106</v>
      </c>
      <c r="P8" s="15"/>
      <c r="Q8" s="77" t="s">
        <v>77</v>
      </c>
      <c r="R8" s="94" t="s">
        <v>93</v>
      </c>
      <c r="S8" s="78">
        <v>4</v>
      </c>
      <c r="T8" s="44" t="s">
        <v>74</v>
      </c>
      <c r="U8" s="37"/>
      <c r="AG8" s="37"/>
      <c r="AH8"/>
      <c r="AI8"/>
      <c r="AJ8"/>
      <c r="AK8"/>
    </row>
    <row r="9" spans="1:44" s="17" customFormat="1" ht="77.25" customHeight="1" x14ac:dyDescent="0.25">
      <c r="A9" s="76" t="s">
        <v>97</v>
      </c>
      <c r="B9" s="81" t="s">
        <v>123</v>
      </c>
      <c r="C9" s="102">
        <v>5</v>
      </c>
      <c r="D9" s="76">
        <v>18.93</v>
      </c>
      <c r="E9" s="97">
        <v>1.9999999999999999E-7</v>
      </c>
      <c r="F9" s="134">
        <v>100100</v>
      </c>
      <c r="G9" s="76">
        <v>2.0506984818469548E-7</v>
      </c>
      <c r="H9" s="18">
        <v>0.83</v>
      </c>
      <c r="I9" s="18">
        <v>0</v>
      </c>
      <c r="J9" s="43">
        <v>0</v>
      </c>
      <c r="K9" s="15"/>
      <c r="L9" s="195" t="s">
        <v>17</v>
      </c>
      <c r="M9" s="197" t="s">
        <v>73</v>
      </c>
      <c r="N9" s="89" t="s">
        <v>87</v>
      </c>
      <c r="O9" s="43">
        <v>107</v>
      </c>
      <c r="P9" s="15"/>
      <c r="Q9" s="15"/>
      <c r="R9" s="15"/>
      <c r="S9" s="15"/>
      <c r="T9" s="15"/>
      <c r="U9" s="37"/>
      <c r="AG9" s="37"/>
      <c r="AH9" s="12"/>
      <c r="AI9" s="12"/>
      <c r="AJ9" s="12"/>
      <c r="AK9" s="12"/>
    </row>
    <row r="10" spans="1:44" s="11" customFormat="1" ht="75.75" thickBot="1" x14ac:dyDescent="0.3">
      <c r="A10" s="76" t="s">
        <v>98</v>
      </c>
      <c r="B10" s="81" t="s">
        <v>122</v>
      </c>
      <c r="C10" s="102">
        <v>6</v>
      </c>
      <c r="D10" s="76">
        <v>18.93</v>
      </c>
      <c r="E10" s="97">
        <v>1.9999999999999999E-7</v>
      </c>
      <c r="F10" s="134">
        <v>100100</v>
      </c>
      <c r="G10" s="76">
        <v>2.0506984818469548E-7</v>
      </c>
      <c r="H10" s="18">
        <v>-4.87</v>
      </c>
      <c r="I10" s="18">
        <v>1.6799999999999999E-4</v>
      </c>
      <c r="J10" s="43">
        <v>-28.12</v>
      </c>
      <c r="K10" s="15"/>
      <c r="L10" s="196"/>
      <c r="M10" s="198"/>
      <c r="N10" s="90" t="s">
        <v>88</v>
      </c>
      <c r="O10" s="44">
        <v>108</v>
      </c>
      <c r="P10" s="15"/>
      <c r="Q10" s="15"/>
      <c r="R10" s="15"/>
      <c r="S10" s="15"/>
      <c r="T10" s="15"/>
      <c r="U10" s="38"/>
      <c r="AG10" s="38"/>
      <c r="AH10"/>
      <c r="AI10"/>
      <c r="AJ10"/>
      <c r="AK10"/>
    </row>
    <row r="11" spans="1:44" s="11" customFormat="1" ht="30" x14ac:dyDescent="0.25">
      <c r="A11" s="76" t="s">
        <v>139</v>
      </c>
      <c r="B11" s="81" t="s">
        <v>120</v>
      </c>
      <c r="C11" s="102">
        <v>-2</v>
      </c>
      <c r="D11" s="76">
        <v>18.93</v>
      </c>
      <c r="E11" s="97">
        <v>6.0714000000000002E-5</v>
      </c>
      <c r="F11" s="134">
        <v>122300</v>
      </c>
      <c r="G11" s="76"/>
      <c r="H11" s="18"/>
      <c r="I11" s="18"/>
      <c r="J11" s="43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38"/>
      <c r="AG11" s="38"/>
      <c r="AH11"/>
      <c r="AI11"/>
      <c r="AJ11"/>
      <c r="AK11"/>
    </row>
    <row r="12" spans="1:44" s="12" customFormat="1" ht="49.5" customHeight="1" x14ac:dyDescent="0.25">
      <c r="A12" s="76" t="s">
        <v>119</v>
      </c>
      <c r="B12" s="81" t="s">
        <v>121</v>
      </c>
      <c r="C12" s="102">
        <v>-3</v>
      </c>
      <c r="D12" s="76">
        <v>15.65</v>
      </c>
      <c r="E12" s="97">
        <v>6.8999999999999997E-5</v>
      </c>
      <c r="F12" s="134">
        <v>169000</v>
      </c>
      <c r="G12" s="76"/>
      <c r="H12" s="18"/>
      <c r="I12" s="18"/>
      <c r="J12" s="43"/>
      <c r="K12" s="15"/>
      <c r="L12" s="15"/>
      <c r="M12" s="15"/>
      <c r="N12" s="15"/>
      <c r="O12" s="15"/>
      <c r="P12" s="15"/>
      <c r="Q12" s="79"/>
      <c r="R12" s="79"/>
      <c r="S12" s="79"/>
      <c r="T12" s="15"/>
      <c r="U12" s="39"/>
      <c r="AG12" s="39"/>
      <c r="AH12"/>
      <c r="AI12"/>
      <c r="AJ12"/>
      <c r="AK12"/>
    </row>
    <row r="13" spans="1:44" ht="18.75" x14ac:dyDescent="0.25">
      <c r="A13" s="76" t="s">
        <v>80</v>
      </c>
      <c r="B13" s="81" t="s">
        <v>140</v>
      </c>
      <c r="C13" s="102">
        <v>3</v>
      </c>
      <c r="D13" s="76">
        <v>15.65</v>
      </c>
      <c r="E13" s="97">
        <v>19.3188</v>
      </c>
      <c r="F13" s="134">
        <v>-165000</v>
      </c>
      <c r="G13" s="76"/>
      <c r="H13" s="18"/>
      <c r="I13" s="18"/>
      <c r="J13" s="43"/>
      <c r="Y13" s="192" t="s">
        <v>138</v>
      </c>
      <c r="Z13" s="193"/>
    </row>
    <row r="14" spans="1:44" x14ac:dyDescent="0.25">
      <c r="Y14" s="89" t="s">
        <v>16</v>
      </c>
      <c r="Z14" s="129">
        <v>3200</v>
      </c>
    </row>
    <row r="15" spans="1:44" x14ac:dyDescent="0.25">
      <c r="Y15" s="89" t="s">
        <v>17</v>
      </c>
      <c r="Z15" s="129">
        <v>4650</v>
      </c>
    </row>
  </sheetData>
  <mergeCells count="15">
    <mergeCell ref="Y13:Z13"/>
    <mergeCell ref="AM1:AR1"/>
    <mergeCell ref="L9:L10"/>
    <mergeCell ref="M9:M10"/>
    <mergeCell ref="AH1:AK1"/>
    <mergeCell ref="Q2:T2"/>
    <mergeCell ref="A1:T1"/>
    <mergeCell ref="AB2:AC2"/>
    <mergeCell ref="AE2:AF2"/>
    <mergeCell ref="V2:W2"/>
    <mergeCell ref="L2:O2"/>
    <mergeCell ref="A2:C2"/>
    <mergeCell ref="Y2:Z2"/>
    <mergeCell ref="V1:AF1"/>
    <mergeCell ref="D2:J2"/>
  </mergeCell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Data</vt:lpstr>
      <vt:lpstr>Template</vt:lpstr>
      <vt:lpstr>AFT</vt:lpstr>
      <vt:lpstr>Feuil1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Derycke</dc:creator>
  <cp:lastModifiedBy>Alexis Derycke</cp:lastModifiedBy>
  <dcterms:created xsi:type="dcterms:W3CDTF">2018-07-19T11:42:58Z</dcterms:created>
  <dcterms:modified xsi:type="dcterms:W3CDTF">2023-09-03T07:15:36Z</dcterms:modified>
</cp:coreProperties>
</file>